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fc8635a1504f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①연간재무제표" sheetId="1" r:id="Re476e009e1d34748"/>
    <x:sheet xmlns:r="http://schemas.openxmlformats.org/officeDocument/2006/relationships" name="②분기재무제표" sheetId="2" r:id="R6ddf457918d24cba"/>
    <x:sheet xmlns:r="http://schemas.openxmlformats.org/officeDocument/2006/relationships" name="③배당" sheetId="3" r:id="R8bd6a8f92d51440a"/>
    <x:sheet xmlns:r="http://schemas.openxmlformats.org/officeDocument/2006/relationships" name="④사용가이드" sheetId="4" r:id="R9d26fdbc2f984be6"/>
    <x:sheet xmlns:r="http://schemas.openxmlformats.org/officeDocument/2006/relationships" name="네이버RAW_붙여넣기" sheetId="5" r:id="Raf2323a7d4124556"/>
  </x:sheets>
</x:workbook>
</file>

<file path=xl/sharedStrings.xml><?xml version="1.0" encoding="utf-8"?>
<x:sst xmlns:x="http://schemas.openxmlformats.org/spreadsheetml/2006/main">
  <x:si>
    <x:t xml:space="preserve">SEQUOIA QUANTUM™ ①연간 재무제표 | 네이버금융 복사 → A3셀부터 붙여넣기</x:t>
  </x:si>
  <x:si>
    <x:t xml:space="preserve">▶ 네이버금융 &gt; 종목분석 &gt; 재무제표 &gt; [연간] 탭 &gt; 표 전체 복사 → 이 시트 A3 셀 클릭 → 붙여넣기(Ctrl+V) | 3행(헤더)부터 덮어씌워집니다 | 단위: 억원 / EPS·BPS는 원 / 비율은 %</x:t>
  </x:si>
  <x:si>
    <x:t xml:space="preserve">항목명</x:t>
  </x:si>
  <x:si>
    <x:t xml:space="preserve">──  손익계산서  ──</x:t>
  </x:si>
  <x:si>
    <x:t xml:space="preserve">매출액</x:t>
  </x:si>
  <x:si>
    <x:t xml:space="preserve">영업이익</x:t>
  </x:si>
  <x:si>
    <x:t xml:space="preserve">당기순이익</x:t>
  </x:si>
  <x:si>
    <x:t xml:space="preserve">영업이익률</x:t>
  </x:si>
  <x:si>
    <x:t xml:space="preserve">순이익률</x:t>
  </x:si>
  <x:si>
    <x:t xml:space="preserve">──  재무상태표  ──</x:t>
  </x:si>
  <x:si>
    <x:t xml:space="preserve">자산총계</x:t>
  </x:si>
  <x:si>
    <x:t xml:space="preserve">부채총계</x:t>
  </x:si>
  <x:si>
    <x:t xml:space="preserve">자본총계</x:t>
  </x:si>
  <x:si>
    <x:t xml:space="preserve">부채비율</x:t>
  </x:si>
  <x:si>
    <x:t xml:space="preserve">자본유보율</x:t>
  </x:si>
  <x:si>
    <x:t xml:space="preserve">──  현금흐름  ──</x:t>
  </x:si>
  <x:si>
    <x:t xml:space="preserve">영업활동현금흐름</x:t>
  </x:si>
  <x:si>
    <x:t xml:space="preserve">투자활동현금흐름</x:t>
  </x:si>
  <x:si>
    <x:t xml:space="preserve">재무활동현금흐름</x:t>
  </x:si>
  <x:si>
    <x:t xml:space="preserve">설비투자(CAPEX)</x:t>
  </x:si>
  <x:si>
    <x:t xml:space="preserve">FCF</x:t>
  </x:si>
  <x:si>
    <x:t xml:space="preserve">──  주당·밸류  ──</x:t>
  </x:si>
  <x:si>
    <x:t xml:space="preserve">EPS(원)</x:t>
  </x:si>
  <x:si>
    <x:t xml:space="preserve">BPS(원)</x:t>
  </x:si>
  <x:si>
    <x:t xml:space="preserve">ROE(%)</x:t>
  </x:si>
  <x:si>
    <x:t xml:space="preserve">ROA(%)</x:t>
  </x:si>
  <x:si>
    <x:t xml:space="preserve">PER(배)</x:t>
  </x:si>
  <x:si>
    <x:t xml:space="preserve">PBR(배)</x:t>
  </x:si>
  <x:si>
    <x:t xml:space="preserve">발행주식수(보통주)</x:t>
  </x:si>
  <x:si>
    <x:t xml:space="preserve">※ 붙여넣기 후 열 너비가 틀어지면 Ctrl+A → 열 너비 자동맞춤으로 정리하세요.</x:t>
  </x:si>
  <x:si>
    <x:t xml:space="preserve">※ 네이버 항목명이 앱 파싱 기준입니다. 항목명을 임의로 수정하지 마세요.</x:t>
  </x:si>
  <x:si>
    <x:t xml:space="preserve">※ 2025년 연간 확정치 발표 후 열을 추가해 붙여넣으면 자동 인식됩니다.</x:t>
  </x:si>
  <x:si>
    <x:t xml:space="preserve">SEQUOIA QUANTUM™ ②분기 재무제표 | 네이버금융 복사 → A3셀부터 붙여넣기</x:t>
  </x:si>
  <x:si>
    <x:t xml:space="preserve">▶ 네이버금융 &gt; 종목분석 &gt; 재무제표 &gt; [분기] 탭 &gt; 표 전체 복사 → 이 시트 A3 셀 클릭 → 붙여넣기(Ctrl+V) | 최근 4개 분기 데이터가 자동으로 채워집니다 | 분기 업데이트 시 다시 붙여넣기</x:t>
  </x:si>
  <x:si>
    <x:t xml:space="preserve">※ 분기 데이터는 누적/개별 기준이 혼재할 수 있습니다. 네이버 표시 기준을 그대로 사용합니다.</x:t>
  </x:si>
  <x:si>
    <x:t xml:space="preserve">※ 새 분기 발표 후 네이버에서 다시 복사해서 A3에 붙여넣으면 자동 갱신됩니다.</x:t>
  </x:si>
  <x:si>
    <x:t xml:space="preserve">※ 앱에서 연간+분기를 합쳐 시계열로 표시합니다. 겹치는 구간은 분기 데이터 우선 적용.</x:t>
  </x:si>
  <x:si>
    <x:t xml:space="preserve">SEQUOIA QUANTUM™ ③배당 이력 | 네이버금융 복사 → A3셀부터 붙여넣기</x:t>
  </x:si>
  <x:si>
    <x:t xml:space="preserve">▶ 네이버금융 &gt; 종목분석 &gt; 배당 탭 &gt; 표 하단 3개 행(현금DPS·배당수익률·배당성향) 복사 → 이 시트 A3 셀 클릭 → 붙여넣기(Ctrl+V) | 미배당 연도는 빈칸으로 두세요</x:t>
  </x:si>
  <x:si>
    <x:t xml:space="preserve">2021/12</x:t>
  </x:si>
  <x:si>
    <x:t xml:space="preserve">현금DPS(원)</x:t>
  </x:si>
  <x:si>
    <x:t xml:space="preserve">현금배당수익률</x:t>
  </x:si>
  <x:si>
    <x:t xml:space="preserve">현금배당성향(%)</x:t>
  </x:si>
  <x:si>
    <x:t xml:space="preserve">※ 2025년 배당은 내년 초 공시 후 추가 입력하세요.</x:t>
  </x:si>
  <x:si>
    <x:t xml:space="preserve">※ 배당 데이터가 없으면 앱의 배당 탭이 자동으로 비활성화됩니다.</x:t>
  </x:si>
  <x:si>
    <x:t xml:space="preserve">STEP 1</x:t>
  </x:si>
  <x:si>
    <x:t xml:space="preserve">네이버금융 &gt; 종목분석 &gt; 재무제표 &gt; [연간] 탭</x:t>
  </x:si>
  <x:si>
    <x:t xml:space="preserve">→ 표 전체 Ctrl+A → Ctrl+C 복사</x:t>
  </x:si>
  <x:si>
    <x:t xml:space="preserve">→ ①연간재무제표 시트 A3 클릭 → Ctrl+V 붙여넣기</x:t>
  </x:si>
  <x:si>
    <x:t xml:space="preserve">STEP 2</x:t>
  </x:si>
  <x:si>
    <x:t xml:space="preserve">네이버금융 &gt; 종목분석 &gt; 재무제표 &gt; [분기] 탭</x:t>
  </x:si>
  <x:si>
    <x:t xml:space="preserve">→ 표 전체 복사 → ②분기재무제표 시트 A3에 붙여넣기</x:t>
  </x:si>
  <x:si>
    <x:t xml:space="preserve">STEP 3</x:t>
  </x:si>
  <x:si>
    <x:t xml:space="preserve">네이버금융 &gt; 종목분석 &gt; 배당 탭</x:t>
  </x:si>
  <x:si>
    <x:t xml:space="preserve">→ 하단 배당 표 복사 → ③배당 시트 A3에 붙여넣기</x:t>
  </x:si>
  <x:si>
    <x:t xml:space="preserve">💡  팁</x:t>
  </x:si>
  <x:si>
    <x:t xml:space="preserve">업데이트</x:t>
  </x:si>
  <x:si>
    <x:t xml:space="preserve">분기 실적 발표 후 해당 시트에 다시 붙여넣기만 하면 됩니다</x:t>
  </x:si>
  <x:si>
    <x:t xml:space="preserve">종목 추가</x:t>
  </x:si>
  <x:si>
    <x:t xml:space="preserve">새 종목은 이 서식을 복사해서 파일명만 바꿔 저장하세요</x:t>
  </x:si>
  <x:si>
    <x:t xml:space="preserve">빈칸</x:t>
  </x:si>
  <x:si>
    <x:t xml:space="preserve">데이터 없는 칸은 그냥 비워두세요. 앱이 자동으로 처리합니다</x:t>
  </x:si>
  <x:si>
    <x:t xml:space="preserve">단위</x:t>
  </x:si>
  <x:si>
    <x:t xml:space="preserve">네이버 표시 단위 그대로 붙여넣으세요. 앱이 자동 변환합니다</x:t>
  </x:si>
  <x:si>
    <x:t xml:space="preserve">⚠️  주의사항</x:t>
  </x:si>
  <x:si>
    <x:t xml:space="preserve">①</x:t>
  </x:si>
  <x:si>
    <x:t xml:space="preserve">항목명(A열)을 임의로 수정하지 마세요. 앱 파싱 오류가 납니다</x:t>
  </x:si>
  <x:si>
    <x:t xml:space="preserve">②</x:t>
  </x:si>
  <x:si>
    <x:t xml:space="preserve">파일 저장 시 반드시 xlsx 형식으로 저장하세요 (xls 저장 금지)</x:t>
  </x:si>
  <x:si>
    <x:t xml:space="preserve">③</x:t>
  </x:si>
  <x:si>
    <x:t xml:space="preserve">시트명(①②③④)을 변경하지 마세요</x:t>
  </x:si>
  <x:si>
    <x:t xml:space="preserve">④</x:t>
  </x:si>
  <x:si>
    <x:t xml:space="preserve">네이버 레이아웃이 바뀌면 항목명이 달라질 수 있습니다. 그 경우 문의하세요</x:t>
  </x:si>
</x:sst>
</file>

<file path=xl/styles.xml><?xml version="1.0" encoding="utf-8"?>
<x:styleSheet xmlns:x="http://schemas.openxmlformats.org/spreadsheetml/2006/main">
  <x:fonts count="14">
    <x:font>
      <x:sz val="11"/>
      <x:color theme="1"/>
      <x:name val="맑은 고딕"/>
    </x:font>
    <x:font>
      <x:b/>
      <x:sz val="12"/>
      <x:color rgb="FFFFFF"/>
      <x:name val="Arial"/>
    </x:font>
    <x:font>
      <x:i/>
      <x:sz val="8"/>
      <x:color rgb="1A5CB8"/>
      <x:name val="Arial"/>
    </x:font>
    <x:font>
      <x:b/>
      <x:sz val="9"/>
      <x:color rgb="FFFFFF"/>
      <x:name val="Arial"/>
    </x:font>
    <x:font>
      <x:b/>
      <x:sz val="9"/>
      <x:color rgb="1A2035"/>
      <x:name val="Arial"/>
    </x:font>
    <x:font>
      <x:sz val="9"/>
      <x:color rgb="0000FF"/>
      <x:name val="Arial"/>
    </x:font>
    <x:font>
      <x:i/>
      <x:sz val="8"/>
      <x:color rgb="7A8BAA"/>
      <x:name val="Arial"/>
    </x:font>
    <x:font>
      <x:b/>
      <x:sz val="13"/>
      <x:color rgb="FFFFFF"/>
      <x:name val="Arial"/>
    </x:font>
    <x:font>
      <x:b/>
      <x:sz val="10"/>
      <x:color rgb="FFFFFF"/>
      <x:name val="Arial"/>
    </x:font>
    <x:font>
      <x:b/>
      <x:sz val="9"/>
      <x:color rgb="1A5CB8"/>
      <x:name val="Arial"/>
    </x:font>
    <x:font>
      <x:sz val="9"/>
      <x:color rgb="1A2035"/>
      <x:name val="Arial"/>
    </x:font>
    <x:font>
      <x:sz val="8"/>
      <x:name val="맑은 고딕"/>
    </x:font>
    <x:font>
      <x:b/>
      <x:sz val="9"/>
      <x:color rgb="FFFFFF"/>
      <x:name val="맑은 고딕"/>
    </x:font>
    <x:font>
      <x:b/>
      <x:sz val="9"/>
      <x:color rgb="FFFFFF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1A3A5C"/>
      </x:patternFill>
    </x:fill>
    <x:fill>
      <x:patternFill patternType="solid">
        <x:fgColor rgb="EEF4FB"/>
      </x:patternFill>
    </x:fill>
    <x:fill>
      <x:patternFill patternType="solid">
        <x:fgColor rgb="1A5CB8"/>
      </x:patternFill>
    </x:fill>
    <x:fill>
      <x:patternFill patternType="solid">
        <x:fgColor rgb="2A4A6C"/>
      </x:patternFill>
    </x:fill>
    <x:fill>
      <x:patternFill patternType="solid">
        <x:fgColor rgb="F0F4FA"/>
      </x:patternFill>
    </x:fill>
    <x:fill>
      <x:patternFill patternType="solid">
        <x:fgColor rgb="FFFFFF"/>
      </x:patternFill>
    </x:fill>
    <x:fill>
      <x:patternFill patternType="solid">
        <x:fgColor rgb="2A4A6C"/>
      </x:patternFill>
    </x:fill>
  </x:fills>
  <x:borders count="2">
    <x:border/>
    <x:border>
      <x:left style="thin">
        <x:color rgb="C0CDE0"/>
      </x:left>
      <x:right style="thin">
        <x:color rgb="C0CDE0"/>
      </x:right>
      <x:top style="thin">
        <x:color rgb="C0CDE0"/>
      </x:top>
      <x:bottom style="thin">
        <x:color rgb="C0CDE0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3" fillId="4" borderId="1" xfId="0" applyFont="1" applyFill="1" applyBorder="1" applyAlignment="1">
      <x:alignment horizontal="center" vertical="center" wrapText="1"/>
    </x:xf>
    <x:xf numFmtId="0" fontId="4" fillId="6" borderId="1" xfId="0" applyFont="1" applyFill="1" applyBorder="1" applyAlignment="1">
      <x:alignment horizontal="left" vertical="center" wrapText="1"/>
    </x:xf>
    <x:xf numFmtId="0" fontId="5" fillId="7" borderId="1" xfId="0" applyFont="1" applyFill="1" applyBorder="1" applyAlignment="1">
      <x:alignment horizontal="center" vertical="center" wrapText="1"/>
    </x:xf>
    <x:xf numFmtId="0" fontId="9" fillId="0" borderId="0" xfId="0" applyFont="1" applyAlignment="1">
      <x:alignment horizontal="left" vertical="center"/>
    </x:xf>
    <x:xf numFmtId="0" fontId="10" fillId="0" borderId="0" xfId="0" applyFont="1" applyAlignment="1">
      <x:alignment horizontal="left" vertical="center"/>
    </x:xf>
    <x:xf numFmtId="0" fontId="0" fillId="0" borderId="0" xfId="0"/>
    <x:xf numFmtId="0" fontId="13" fillId="4" borderId="1" xfId="0" applyFont="1" applyFill="1" applyBorder="1" applyAlignment="1">
      <x:alignment horizontal="center" vertical="center" wrapText="1"/>
    </x:xf>
    <x:xf numFmtId="0" fontId="3" fillId="5" borderId="0" xfId="0" applyFont="1" applyFill="1" applyAlignment="1">
      <x:alignment horizontal="left" vertical="center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6" fillId="0" borderId="0" xfId="0" applyFont="1" applyAlignment="1">
      <x:alignment horizontal="left" vertical="center"/>
    </x:xf>
    <x:xf numFmtId="0" fontId="2" fillId="3" borderId="0" xfId="0" applyFont="1" applyFill="1" applyAlignment="1">
      <x:alignment horizontal="left" vertical="center"/>
    </x:xf>
    <x:xf numFmtId="0" fontId="7" fillId="2" borderId="0" xfId="0" applyFont="1" applyFill="1" applyAlignment="1">
      <x:alignment horizontal="center" vertical="center"/>
    </x:xf>
    <x:xf numFmtId="0" fontId="8" fillId="5" borderId="0" xfId="0" applyFont="1" applyFill="1" applyAlignment="1">
      <x:alignment horizontal="left" vertical="center"/>
    </x:xf>
    <x:xf numFmtId="0" fontId="3" fillId="8" borderId="0" xfId="0" applyFont="1" applyFill="1" applyAlignment="1">
      <x:alignment horizontal="left" vertical="center"/>
    </x:xf>
    <x:xf numFmtId="0" fontId="0" fillId="8" borderId="0" xfId="0" applyFill="1" applyAlignment="1"/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090c594385440a" /><Relationship Type="http://schemas.openxmlformats.org/officeDocument/2006/relationships/theme" Target="/xl/theme/theme1.xml" Id="Raa6769e9fa43478f" /><Relationship Type="http://schemas.openxmlformats.org/officeDocument/2006/relationships/sharedStrings" Target="/xl/sharedStrings.xml" Id="R0908bc7e03c44f5a" /><Relationship Type="http://schemas.openxmlformats.org/officeDocument/2006/relationships/worksheet" Target="/xl/worksheets/sheet1.xml" Id="Re476e009e1d34748" /><Relationship Type="http://schemas.openxmlformats.org/officeDocument/2006/relationships/worksheet" Target="/xl/worksheets/sheet2.xml" Id="R6ddf457918d24cba" /><Relationship Type="http://schemas.openxmlformats.org/officeDocument/2006/relationships/worksheet" Target="/xl/worksheets/sheet3.xml" Id="R8bd6a8f92d51440a" /><Relationship Type="http://schemas.openxmlformats.org/officeDocument/2006/relationships/worksheet" Target="/xl/worksheets/sheet4.xml" Id="R9d26fdbc2f984be6" /><Relationship Type="http://schemas.openxmlformats.org/officeDocument/2006/relationships/worksheet" Target="/xl/worksheets/sheet5.xml" Id="Raf2323a7d412455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6.5"/>
  <x:cols>
    <x:col min="1" max="1" width="26" customWidth="1"/>
    <x:col min="2" max="5" width="14" customWidth="1"/>
  </x:cols>
  <x:sheetData>
    <x:row r="1" ht="30" customHeight="1">
      <x:c r="A1" s="9" t="s">
        <x:v>0</x:v>
      </x:c>
      <x:c r="B1" s="10"/>
      <x:c r="C1" s="10"/>
      <x:c r="D1" s="10"/>
      <x:c r="E1" s="10"/>
    </x:row>
    <x:row r="2" ht="15.949999809265137" customHeight="1">
      <x:c r="A2" s="12" t="s">
        <x:v>1</x:v>
      </x:c>
      <x:c r="B2" s="10"/>
      <x:c r="C2" s="10"/>
      <x:c r="D2" s="10"/>
      <x:c r="E2" s="10"/>
    </x:row>
    <x:row r="3" ht="21.950000762939453" customHeight="1">
      <x:c r="A3" s="1" t="s">
        <x:v>2</x:v>
      </x:c>
      <x:c r="B3" s="7" t="str">
        <x:f>IFERROR(TEXT('네이버RAW_붙여넣기'!B2,"yyyy/mm")&amp;CHAR(10)&amp;'네이버RAW_붙여넣기'!B3,"")</x:f>
        <x:v>2022/12
(IFRS연결)</x:v>
      </x:c>
      <x:c r="C3" s="7" t="str">
        <x:f>IFERROR(TEXT('네이버RAW_붙여넣기'!C2,"yyyy/mm")&amp;CHAR(10)&amp;'네이버RAW_붙여넣기'!C3,"")</x:f>
        <x:v>2023/12
(IFRS연결)</x:v>
      </x:c>
      <x:c r="D3" s="7" t="str">
        <x:f>IFERROR(TEXT('네이버RAW_붙여넣기'!D2,"yyyy/mm")&amp;CHAR(10)&amp;'네이버RAW_붙여넣기'!D3,"")</x:f>
        <x:v>2024/12
(IFRS연결)</x:v>
      </x:c>
      <x:c r="E3" s="7" t="str">
        <x:f>IFERROR(TEXT('네이버RAW_붙여넣기'!E2,"yyyy/mm")&amp;CHAR(10)&amp;'네이버RAW_붙여넣기'!E3,"")</x:f>
        <x:v>2025/12
(IFRS연결)</x:v>
      </x:c>
    </x:row>
    <x:row r="4" ht="18" customHeight="1">
      <x:c r="A4" s="15" t="s">
        <x:v>3</x:v>
      </x:c>
      <x:c r="B4" s="16"/>
      <x:c r="C4" s="16"/>
      <x:c r="D4" s="16"/>
      <x:c r="E4" s="16"/>
    </x:row>
    <x:row r="5" ht="18" customHeight="1">
      <x:c r="A5" s="2" t="s">
        <x:v>4</x:v>
      </x:c>
      <x:c r="B5" s="3" t="n">
        <x:f>IFERROR(INDEX('네이버RAW_붙여넣기'!B:B,MATCH(IF($A5="설비투자(CAPEX)","CAPEX",$A5),'네이버RAW_붙여넣기'!$A:$A,0)),"")</x:f>
        <x:v>3022314</x:v>
      </x:c>
      <x:c r="C5" s="3" t="n">
        <x:f>IFERROR(INDEX('네이버RAW_붙여넣기'!C:C,MATCH(IF($A5="설비투자(CAPEX)","CAPEX",$A5),'네이버RAW_붙여넣기'!$A:$A,0)),"")</x:f>
        <x:v>2589355</x:v>
      </x:c>
      <x:c r="D5" s="3" t="n">
        <x:f>IFERROR(INDEX('네이버RAW_붙여넣기'!D:D,MATCH(IF($A5="설비투자(CAPEX)","CAPEX",$A5),'네이버RAW_붙여넣기'!$A:$A,0)),"")</x:f>
        <x:v>3008709</x:v>
      </x:c>
      <x:c r="E5" s="3" t="n">
        <x:f>IFERROR(INDEX('네이버RAW_붙여넣기'!E:E,MATCH(IF($A5="설비투자(CAPEX)","CAPEX",$A5),'네이버RAW_붙여넣기'!$A:$A,0)),"")</x:f>
        <x:v>3336059</x:v>
      </x:c>
    </x:row>
    <x:row r="6" ht="18" customHeight="1">
      <x:c r="A6" s="2" t="s">
        <x:v>5</x:v>
      </x:c>
      <x:c r="B6" s="3" t="n">
        <x:f>IFERROR(INDEX('네이버RAW_붙여넣기'!B:B,MATCH(IF($A6="설비투자(CAPEX)","CAPEX",$A6),'네이버RAW_붙여넣기'!$A:$A,0)),"")</x:f>
        <x:v>433766</x:v>
      </x:c>
      <x:c r="C6" s="3" t="n">
        <x:f>IFERROR(INDEX('네이버RAW_붙여넣기'!C:C,MATCH(IF($A6="설비투자(CAPEX)","CAPEX",$A6),'네이버RAW_붙여넣기'!$A:$A,0)),"")</x:f>
        <x:v>65670</x:v>
      </x:c>
      <x:c r="D6" s="3" t="n">
        <x:f>IFERROR(INDEX('네이버RAW_붙여넣기'!D:D,MATCH(IF($A6="설비투자(CAPEX)","CAPEX",$A6),'네이버RAW_붙여넣기'!$A:$A,0)),"")</x:f>
        <x:v>327260</x:v>
      </x:c>
      <x:c r="E6" s="3" t="n">
        <x:f>IFERROR(INDEX('네이버RAW_붙여넣기'!E:E,MATCH(IF($A6="설비투자(CAPEX)","CAPEX",$A6),'네이버RAW_붙여넣기'!$A:$A,0)),"")</x:f>
        <x:v>436011</x:v>
      </x:c>
    </x:row>
    <x:row r="7" ht="18" customHeight="1">
      <x:c r="A7" s="2" t="s">
        <x:v>6</x:v>
      </x:c>
      <x:c r="B7" s="3" t="n">
        <x:f>IFERROR(INDEX('네이버RAW_붙여넣기'!B:B,MATCH(IF($A7="설비투자(CAPEX)","CAPEX",$A7),'네이버RAW_붙여넣기'!$A:$A,0)),"")</x:f>
        <x:v>556541</x:v>
      </x:c>
      <x:c r="C7" s="3" t="n">
        <x:f>IFERROR(INDEX('네이버RAW_붙여넣기'!C:C,MATCH(IF($A7="설비투자(CAPEX)","CAPEX",$A7),'네이버RAW_붙여넣기'!$A:$A,0)),"")</x:f>
        <x:v>154871</x:v>
      </x:c>
      <x:c r="D7" s="3" t="n">
        <x:f>IFERROR(INDEX('네이버RAW_붙여넣기'!D:D,MATCH(IF($A7="설비투자(CAPEX)","CAPEX",$A7),'네이버RAW_붙여넣기'!$A:$A,0)),"")</x:f>
        <x:v>344514</x:v>
      </x:c>
      <x:c r="E7" s="3" t="n">
        <x:f>IFERROR(INDEX('네이버RAW_붙여넣기'!E:E,MATCH(IF($A7="설비투자(CAPEX)","CAPEX",$A7),'네이버RAW_붙여넣기'!$A:$A,0)),"")</x:f>
        <x:v>452068</x:v>
      </x:c>
    </x:row>
    <x:row r="8" ht="18" customHeight="1">
      <x:c r="A8" s="2" t="s">
        <x:v>7</x:v>
      </x:c>
      <x:c r="B8" s="3" t="n">
        <x:f>IFERROR(INDEX('네이버RAW_붙여넣기'!B:B,MATCH(IF($A8="설비투자(CAPEX)","CAPEX",$A8),'네이버RAW_붙여넣기'!$A:$A,0)),"")</x:f>
        <x:v>14.35</x:v>
      </x:c>
      <x:c r="C8" s="3" t="n">
        <x:f>IFERROR(INDEX('네이버RAW_붙여넣기'!C:C,MATCH(IF($A8="설비투자(CAPEX)","CAPEX",$A8),'네이버RAW_붙여넣기'!$A:$A,0)),"")</x:f>
        <x:v>2.54</x:v>
      </x:c>
      <x:c r="D8" s="3" t="n">
        <x:f>IFERROR(INDEX('네이버RAW_붙여넣기'!D:D,MATCH(IF($A8="설비투자(CAPEX)","CAPEX",$A8),'네이버RAW_붙여넣기'!$A:$A,0)),"")</x:f>
        <x:v>10.88</x:v>
      </x:c>
      <x:c r="E8" s="3" t="n">
        <x:f>IFERROR(INDEX('네이버RAW_붙여넣기'!E:E,MATCH(IF($A8="설비투자(CAPEX)","CAPEX",$A8),'네이버RAW_붙여넣기'!$A:$A,0)),"")</x:f>
        <x:v>13.07</x:v>
      </x:c>
    </x:row>
    <x:row r="9" ht="18" customHeight="1">
      <x:c r="A9" s="2" t="s">
        <x:v>8</x:v>
      </x:c>
      <x:c r="B9" s="3" t="n">
        <x:f>IFERROR(INDEX('네이버RAW_붙여넣기'!B:B,MATCH(IF($A9="설비투자(CAPEX)","CAPEX",$A9),'네이버RAW_붙여넣기'!$A:$A,0)),"")</x:f>
        <x:v>18.41</x:v>
      </x:c>
      <x:c r="C9" s="3" t="n">
        <x:f>IFERROR(INDEX('네이버RAW_붙여넣기'!C:C,MATCH(IF($A9="설비투자(CAPEX)","CAPEX",$A9),'네이버RAW_붙여넣기'!$A:$A,0)),"")</x:f>
        <x:v>5.98</x:v>
      </x:c>
      <x:c r="D9" s="3" t="n">
        <x:f>IFERROR(INDEX('네이버RAW_붙여넣기'!D:D,MATCH(IF($A9="설비투자(CAPEX)","CAPEX",$A9),'네이버RAW_붙여넣기'!$A:$A,0)),"")</x:f>
        <x:v>11.45</x:v>
      </x:c>
      <x:c r="E9" s="3" t="n">
        <x:f>IFERROR(INDEX('네이버RAW_붙여넣기'!E:E,MATCH(IF($A9="설비투자(CAPEX)","CAPEX",$A9),'네이버RAW_붙여넣기'!$A:$A,0)),"")</x:f>
        <x:v>13.55</x:v>
      </x:c>
    </x:row>
    <x:row r="10" ht="18" customHeight="1">
      <x:c r="A10" s="8" t="s">
        <x:v>9</x:v>
      </x:c>
      <x:c r="B10" s="16"/>
      <x:c r="C10" s="16"/>
      <x:c r="D10" s="16"/>
      <x:c r="E10" s="16"/>
    </x:row>
    <x:row r="11" ht="18" customHeight="1">
      <x:c r="A11" s="2" t="s">
        <x:v>10</x:v>
      </x:c>
      <x:c r="B11" s="3" t="n">
        <x:f>IFERROR(INDEX('네이버RAW_붙여넣기'!B:B,MATCH(IF($A11="설비투자(CAPEX)","CAPEX",$A11),'네이버RAW_붙여넣기'!$A:$A,0)),"")</x:f>
        <x:v>4484245</x:v>
      </x:c>
      <x:c r="C11" s="3" t="n">
        <x:f>IFERROR(INDEX('네이버RAW_붙여넣기'!C:C,MATCH(IF($A11="설비투자(CAPEX)","CAPEX",$A11),'네이버RAW_붙여넣기'!$A:$A,0)),"")</x:f>
        <x:v>4559060</x:v>
      </x:c>
      <x:c r="D11" s="3" t="n">
        <x:f>IFERROR(INDEX('네이버RAW_붙여넣기'!D:D,MATCH(IF($A11="설비투자(CAPEX)","CAPEX",$A11),'네이버RAW_붙여넣기'!$A:$A,0)),"")</x:f>
        <x:v>5145319</x:v>
      </x:c>
      <x:c r="E11" s="3" t="n">
        <x:f>IFERROR(INDEX('네이버RAW_붙여넣기'!E:E,MATCH(IF($A11="설비투자(CAPEX)","CAPEX",$A11),'네이버RAW_붙여넣기'!$A:$A,0)),"")</x:f>
        <x:v>5669421</x:v>
      </x:c>
    </x:row>
    <x:row r="12" ht="18" customHeight="1">
      <x:c r="A12" s="2" t="s">
        <x:v>11</x:v>
      </x:c>
      <x:c r="B12" s="3" t="n">
        <x:f>IFERROR(INDEX('네이버RAW_붙여넣기'!B:B,MATCH(IF($A12="설비투자(CAPEX)","CAPEX",$A12),'네이버RAW_붙여넣기'!$A:$A,0)),"")</x:f>
        <x:v>936749</x:v>
      </x:c>
      <x:c r="C12" s="3" t="n">
        <x:f>IFERROR(INDEX('네이버RAW_붙여넣기'!C:C,MATCH(IF($A12="설비투자(CAPEX)","CAPEX",$A12),'네이버RAW_붙여넣기'!$A:$A,0)),"")</x:f>
        <x:v>922281</x:v>
      </x:c>
      <x:c r="D12" s="3" t="n">
        <x:f>IFERROR(INDEX('네이버RAW_붙여넣기'!D:D,MATCH(IF($A12="설비투자(CAPEX)","CAPEX",$A12),'네이버RAW_붙여넣기'!$A:$A,0)),"")</x:f>
        <x:v>1123399</x:v>
      </x:c>
      <x:c r="E12" s="3" t="n">
        <x:f>IFERROR(INDEX('네이버RAW_붙여넣기'!E:E,MATCH(IF($A12="설비투자(CAPEX)","CAPEX",$A12),'네이버RAW_붙여넣기'!$A:$A,0)),"")</x:f>
        <x:v>1306218</x:v>
      </x:c>
    </x:row>
    <x:row r="13" ht="18" customHeight="1">
      <x:c r="A13" s="2" t="s">
        <x:v>12</x:v>
      </x:c>
      <x:c r="B13" s="3" t="n">
        <x:f>IFERROR(INDEX('네이버RAW_붙여넣기'!B:B,MATCH(IF($A13="설비투자(CAPEX)","CAPEX",$A13),'네이버RAW_붙여넣기'!$A:$A,0)),"")</x:f>
        <x:v>3547496</x:v>
      </x:c>
      <x:c r="C13" s="3" t="n">
        <x:f>IFERROR(INDEX('네이버RAW_붙여넣기'!C:C,MATCH(IF($A13="설비투자(CAPEX)","CAPEX",$A13),'네이버RAW_붙여넣기'!$A:$A,0)),"")</x:f>
        <x:v>3636779</x:v>
      </x:c>
      <x:c r="D13" s="3" t="n">
        <x:f>IFERROR(INDEX('네이버RAW_붙여넣기'!D:D,MATCH(IF($A13="설비투자(CAPEX)","CAPEX",$A13),'네이버RAW_붙여넣기'!$A:$A,0)),"")</x:f>
        <x:v>4021921</x:v>
      </x:c>
      <x:c r="E13" s="3" t="n">
        <x:f>IFERROR(INDEX('네이버RAW_붙여넣기'!E:E,MATCH(IF($A13="설비투자(CAPEX)","CAPEX",$A13),'네이버RAW_붙여넣기'!$A:$A,0)),"")</x:f>
        <x:v>4363203</x:v>
      </x:c>
    </x:row>
    <x:row r="14" ht="18" customHeight="1">
      <x:c r="A14" s="2" t="s">
        <x:v>13</x:v>
      </x:c>
      <x:c r="B14" s="3" t="n">
        <x:f>IFERROR(INDEX('네이버RAW_붙여넣기'!B:B,MATCH(IF($A14="설비투자(CAPEX)","CAPEX",$A14),'네이버RAW_붙여넣기'!$A:$A,0)),"")</x:f>
        <x:v>26.41</x:v>
      </x:c>
      <x:c r="C14" s="3" t="n">
        <x:f>IFERROR(INDEX('네이버RAW_붙여넣기'!C:C,MATCH(IF($A14="설비투자(CAPEX)","CAPEX",$A14),'네이버RAW_붙여넣기'!$A:$A,0)),"")</x:f>
        <x:v>25.36</x:v>
      </x:c>
      <x:c r="D14" s="3" t="n">
        <x:f>IFERROR(INDEX('네이버RAW_붙여넣기'!D:D,MATCH(IF($A14="설비투자(CAPEX)","CAPEX",$A14),'네이버RAW_붙여넣기'!$A:$A,0)),"")</x:f>
        <x:v>27.93</x:v>
      </x:c>
      <x:c r="E14" s="3" t="n">
        <x:f>IFERROR(INDEX('네이버RAW_붙여넣기'!E:E,MATCH(IF($A14="설비투자(CAPEX)","CAPEX",$A14),'네이버RAW_붙여넣기'!$A:$A,0)),"")</x:f>
        <x:v>29.94</x:v>
      </x:c>
    </x:row>
    <x:row r="15" ht="18" customHeight="1">
      <x:c r="A15" s="2" t="s">
        <x:v>14</x:v>
      </x:c>
      <x:c r="B15" s="3" t="n">
        <x:f>IFERROR(INDEX('네이버RAW_붙여넣기'!B:B,MATCH(IF($A15="설비투자(CAPEX)","CAPEX",$A15),'네이버RAW_붙여넣기'!$A:$A,0)),"")</x:f>
        <x:v>38144.29</x:v>
      </x:c>
      <x:c r="C15" s="3" t="n">
        <x:f>IFERROR(INDEX('네이버RAW_붙여넣기'!C:C,MATCH(IF($A15="설비투자(CAPEX)","CAPEX",$A15),'네이버RAW_붙여넣기'!$A:$A,0)),"")</x:f>
        <x:v>39114.28</x:v>
      </x:c>
      <x:c r="D15" s="3" t="n">
        <x:f>IFERROR(INDEX('네이버RAW_붙여넣기'!D:D,MATCH(IF($A15="설비투자(CAPEX)","CAPEX",$A15),'네이버RAW_붙여넣기'!$A:$A,0)),"")</x:f>
        <x:v>41772.84</x:v>
      </x:c>
      <x:c r="E15" s="3" t="n">
        <x:f>IFERROR(INDEX('네이버RAW_붙여넣기'!E:E,MATCH(IF($A15="설비투자(CAPEX)","CAPEX",$A15),'네이버RAW_붙여넣기'!$A:$A,0)),"")</x:f>
        <x:v>45296.17</x:v>
      </x:c>
    </x:row>
    <x:row r="16" ht="18" customHeight="1">
      <x:c r="A16" s="8" t="s">
        <x:v>15</x:v>
      </x:c>
      <x:c r="B16" s="16"/>
      <x:c r="C16" s="16"/>
      <x:c r="D16" s="16"/>
      <x:c r="E16" s="16"/>
    </x:row>
    <x:row r="17" ht="18" customHeight="1">
      <x:c r="A17" s="2" t="s">
        <x:v>16</x:v>
      </x:c>
      <x:c r="B17" s="3" t="n">
        <x:f>IFERROR(INDEX('네이버RAW_붙여넣기'!B:B,MATCH(IF($A17="설비투자(CAPEX)","CAPEX",$A17),'네이버RAW_붙여넣기'!$A:$A,0)),"")</x:f>
        <x:v>621813</x:v>
      </x:c>
      <x:c r="C17" s="3" t="n">
        <x:f>IFERROR(INDEX('네이버RAW_붙여넣기'!C:C,MATCH(IF($A17="설비투자(CAPEX)","CAPEX",$A17),'네이버RAW_붙여넣기'!$A:$A,0)),"")</x:f>
        <x:v>441374</x:v>
      </x:c>
      <x:c r="D17" s="3" t="n">
        <x:f>IFERROR(INDEX('네이버RAW_붙여넣기'!D:D,MATCH(IF($A17="설비투자(CAPEX)","CAPEX",$A17),'네이버RAW_붙여넣기'!$A:$A,0)),"")</x:f>
        <x:v>729826</x:v>
      </x:c>
      <x:c r="E17" s="3" t="n">
        <x:f>IFERROR(INDEX('네이버RAW_붙여넣기'!E:E,MATCH(IF($A17="설비투자(CAPEX)","CAPEX",$A17),'네이버RAW_붙여넣기'!$A:$A,0)),"")</x:f>
        <x:v>853151</x:v>
      </x:c>
    </x:row>
    <x:row r="18" ht="18" customHeight="1">
      <x:c r="A18" s="2" t="s">
        <x:v>17</x:v>
      </x:c>
      <x:c r="B18" s="3" t="n">
        <x:f>IFERROR(INDEX('네이버RAW_붙여넣기'!B:B,MATCH(IF($A18="설비투자(CAPEX)","CAPEX",$A18),'네이버RAW_붙여넣기'!$A:$A,0)),"")</x:f>
        <x:v>-316028</x:v>
      </x:c>
      <x:c r="C18" s="3" t="n">
        <x:f>IFERROR(INDEX('네이버RAW_붙여넣기'!C:C,MATCH(IF($A18="설비투자(CAPEX)","CAPEX",$A18),'네이버RAW_붙여넣기'!$A:$A,0)),"")</x:f>
        <x:v>-169228</x:v>
      </x:c>
      <x:c r="D18" s="3" t="n">
        <x:f>IFERROR(INDEX('네이버RAW_붙여넣기'!D:D,MATCH(IF($A18="설비투자(CAPEX)","CAPEX",$A18),'네이버RAW_붙여넣기'!$A:$A,0)),"")</x:f>
        <x:v>-853817</x:v>
      </x:c>
      <x:c r="E18" s="3" t="n">
        <x:f>IFERROR(INDEX('네이버RAW_붙여넣기'!E:E,MATCH(IF($A18="설비투자(CAPEX)","CAPEX",$A18),'네이버RAW_붙여넣기'!$A:$A,0)),"")</x:f>
        <x:v>-685122</x:v>
      </x:c>
    </x:row>
    <x:row r="19" ht="18" customHeight="1">
      <x:c r="A19" s="2" t="s">
        <x:v>18</x:v>
      </x:c>
      <x:c r="B19" s="3" t="n">
        <x:f>IFERROR(INDEX('네이버RAW_붙여넣기'!B:B,MATCH(IF($A19="설비투자(CAPEX)","CAPEX",$A19),'네이버RAW_붙여넣기'!$A:$A,0)),"")</x:f>
        <x:v>-193900</x:v>
      </x:c>
      <x:c r="C19" s="3" t="n">
        <x:f>IFERROR(INDEX('네이버RAW_붙여넣기'!C:C,MATCH(IF($A19="설비투자(CAPEX)","CAPEX",$A19),'네이버RAW_붙여넣기'!$A:$A,0)),"")</x:f>
        <x:v>-85931</x:v>
      </x:c>
      <x:c r="D19" s="3" t="n">
        <x:f>IFERROR(INDEX('네이버RAW_붙여넣기'!D:D,MATCH(IF($A19="설비투자(CAPEX)","CAPEX",$A19),'네이버RAW_붙여넣기'!$A:$A,0)),"")</x:f>
        <x:v>-77972</x:v>
      </x:c>
      <x:c r="E19" s="3" t="n">
        <x:f>IFERROR(INDEX('네이버RAW_붙여넣기'!E:E,MATCH(IF($A19="설비투자(CAPEX)","CAPEX",$A19),'네이버RAW_붙여넣기'!$A:$A,0)),"")</x:f>
        <x:v>-134780</x:v>
      </x:c>
    </x:row>
    <x:row r="20" s="6" customFormat="1" ht="18" customHeight="1">
      <x:c r="A20" s="2" t="s">
        <x:v>19</x:v>
      </x:c>
      <x:c r="B20" s="3" t="n">
        <x:f>IFERROR(INDEX('네이버RAW_붙여넣기'!B:B,MATCH(IF($A20="설비투자(CAPEX)","CAPEX",$A20),'네이버RAW_붙여넣기'!$A:$A,0)),"")</x:f>
        <x:v>494304</x:v>
      </x:c>
      <x:c r="C20" s="3" t="n">
        <x:f>IFERROR(INDEX('네이버RAW_붙여넣기'!C:C,MATCH(IF($A20="설비투자(CAPEX)","CAPEX",$A20),'네이버RAW_붙여넣기'!$A:$A,0)),"")</x:f>
        <x:v>576113</x:v>
      </x:c>
      <x:c r="D20" s="3" t="n">
        <x:f>IFERROR(INDEX('네이버RAW_붙여넣기'!D:D,MATCH(IF($A20="설비투자(CAPEX)","CAPEX",$A20),'네이버RAW_붙여넣기'!$A:$A,0)),"")</x:f>
        <x:v>514064</x:v>
      </x:c>
      <x:c r="E20" s="3" t="n">
        <x:f>IFERROR(INDEX('네이버RAW_붙여넣기'!E:E,MATCH(IF($A20="설비투자(CAPEX)","CAPEX",$A20),'네이버RAW_붙여넣기'!$A:$A,0)),"")</x:f>
        <x:v>475222</x:v>
      </x:c>
    </x:row>
    <x:row r="21" ht="18" customHeight="1">
      <x:c r="A21" s="2" t="s">
        <x:v>20</x:v>
      </x:c>
      <x:c r="B21" s="3" t="n">
        <x:f>IFERROR(INDEX('네이버RAW_붙여넣기'!B:B,MATCH(IF($A21="설비투자(CAPEX)","CAPEX",$A21),'네이버RAW_붙여넣기'!$A:$A,0)),"")</x:f>
        <x:v>127509</x:v>
      </x:c>
      <x:c r="C21" s="3" t="n">
        <x:f>IFERROR(INDEX('네이버RAW_붙여넣기'!C:C,MATCH(IF($A21="설비투자(CAPEX)","CAPEX",$A21),'네이버RAW_붙여넣기'!$A:$A,0)),"")</x:f>
        <x:v>-134739</x:v>
      </x:c>
      <x:c r="D21" s="3" t="n">
        <x:f>IFERROR(INDEX('네이버RAW_붙여넣기'!D:D,MATCH(IF($A21="설비투자(CAPEX)","CAPEX",$A21),'네이버RAW_붙여넣기'!$A:$A,0)),"")</x:f>
        <x:v>215763</x:v>
      </x:c>
      <x:c r="E21" s="3" t="n">
        <x:f>IFERROR(INDEX('네이버RAW_붙여넣기'!E:E,MATCH(IF($A21="설비투자(CAPEX)","CAPEX",$A21),'네이버RAW_붙여넣기'!$A:$A,0)),"")</x:f>
        <x:v>377930</x:v>
      </x:c>
    </x:row>
    <x:row r="22" ht="18" customHeight="1">
      <x:c r="A22" s="8" t="s">
        <x:v>21</x:v>
      </x:c>
      <x:c r="B22" s="16"/>
      <x:c r="C22" s="16"/>
      <x:c r="D22" s="16"/>
      <x:c r="E22" s="16"/>
    </x:row>
    <x:row r="23" ht="18" customHeight="1">
      <x:c r="A23" s="2" t="s">
        <x:v>22</x:v>
      </x:c>
      <x:c r="B23" s="3" t="n">
        <x:f>IFERROR(INDEX('네이버RAW_붙여넣기'!B:B,MATCH(IF($A23="설비투자(CAPEX)","CAPEX",$A23),'네이버RAW_붙여넣기'!$A:$A,0)),"")</x:f>
        <x:v>8057</x:v>
      </x:c>
      <x:c r="C23" s="3" t="n">
        <x:f>IFERROR(INDEX('네이버RAW_붙여넣기'!C:C,MATCH(IF($A23="설비투자(CAPEX)","CAPEX",$A23),'네이버RAW_붙여넣기'!$A:$A,0)),"")</x:f>
        <x:v>2131</x:v>
      </x:c>
      <x:c r="D23" s="3" t="n">
        <x:f>IFERROR(INDEX('네이버RAW_붙여넣기'!D:D,MATCH(IF($A23="설비투자(CAPEX)","CAPEX",$A23),'네이버RAW_붙여넣기'!$A:$A,0)),"")</x:f>
        <x:v>4950</x:v>
      </x:c>
      <x:c r="E23" s="3" t="n">
        <x:f>IFERROR(INDEX('네이버RAW_붙여넣기'!E:E,MATCH(IF($A23="설비투자(CAPEX)","CAPEX",$A23),'네이버RAW_붙여넣기'!$A:$A,0)),"")</x:f>
        <x:v>6564</x:v>
      </x:c>
    </x:row>
    <x:row r="24" ht="18" customHeight="1">
      <x:c r="A24" s="2" t="s">
        <x:v>23</x:v>
      </x:c>
      <x:c r="B24" s="3" t="n">
        <x:f>IFERROR(INDEX('네이버RAW_붙여넣기'!B:B,MATCH(IF($A24="설비투자(CAPEX)","CAPEX",$A24),'네이버RAW_붙여넣기'!$A:$A,0)),"")</x:f>
        <x:v>50817</x:v>
      </x:c>
      <x:c r="C24" s="3" t="n">
        <x:f>IFERROR(INDEX('네이버RAW_붙여넣기'!C:C,MATCH(IF($A24="설비투자(CAPEX)","CAPEX",$A24),'네이버RAW_붙여넣기'!$A:$A,0)),"")</x:f>
        <x:v>52002</x:v>
      </x:c>
      <x:c r="D24" s="3" t="n">
        <x:f>IFERROR(INDEX('네이버RAW_붙여넣기'!D:D,MATCH(IF($A24="설비투자(CAPEX)","CAPEX",$A24),'네이버RAW_붙여넣기'!$A:$A,0)),"")</x:f>
        <x:v>57981</x:v>
      </x:c>
      <x:c r="E24" s="3" t="n">
        <x:f>IFERROR(INDEX('네이버RAW_붙여넣기'!E:E,MATCH(IF($A24="설비투자(CAPEX)","CAPEX",$A24),'네이버RAW_붙여넣기'!$A:$A,0)),"")</x:f>
        <x:v>63997</x:v>
      </x:c>
    </x:row>
    <x:row r="25" ht="18" customHeight="1">
      <x:c r="A25" s="2" t="s">
        <x:v>24</x:v>
      </x:c>
      <x:c r="B25" s="3" t="n">
        <x:f>IFERROR(INDEX('네이버RAW_붙여넣기'!B:B,MATCH(IF($A25="설비투자(CAPEX)","CAPEX",$A25),'네이버RAW_붙여넣기'!$A:$A,0)),"")</x:f>
        <x:v>17.07</x:v>
      </x:c>
      <x:c r="C25" s="3" t="n">
        <x:f>IFERROR(INDEX('네이버RAW_붙여넣기'!C:C,MATCH(IF($A25="설비투자(CAPEX)","CAPEX",$A25),'네이버RAW_붙여넣기'!$A:$A,0)),"")</x:f>
        <x:v>4.15</x:v>
      </x:c>
      <x:c r="D25" s="3" t="n">
        <x:f>IFERROR(INDEX('네이버RAW_붙여넣기'!D:D,MATCH(IF($A25="설비투자(CAPEX)","CAPEX",$A25),'네이버RAW_붙여넣기'!$A:$A,0)),"")</x:f>
        <x:v>9.03</x:v>
      </x:c>
      <x:c r="E25" s="3" t="n">
        <x:f>IFERROR(INDEX('네이버RAW_붙여넣기'!E:E,MATCH(IF($A25="설비투자(CAPEX)","CAPEX",$A25),'네이버RAW_붙여넣기'!$A:$A,0)),"")</x:f>
        <x:v>10.85</x:v>
      </x:c>
    </x:row>
    <x:row r="26" ht="18" customHeight="1">
      <x:c r="A26" s="2" t="s">
        <x:v>25</x:v>
      </x:c>
      <x:c r="B26" s="3" t="n">
        <x:f>IFERROR(INDEX('네이버RAW_붙여넣기'!B:B,MATCH(IF($A26="설비투자(CAPEX)","CAPEX",$A26),'네이버RAW_붙여넣기'!$A:$A,0)),"")</x:f>
        <x:v>12.72</x:v>
      </x:c>
      <x:c r="C26" s="3" t="n">
        <x:f>IFERROR(INDEX('네이버RAW_붙여넣기'!C:C,MATCH(IF($A26="설비투자(CAPEX)","CAPEX",$A26),'네이버RAW_붙여넣기'!$A:$A,0)),"")</x:f>
        <x:v>3.43</x:v>
      </x:c>
      <x:c r="D26" s="3" t="n">
        <x:f>IFERROR(INDEX('네이버RAW_붙여넣기'!D:D,MATCH(IF($A26="설비투자(CAPEX)","CAPEX",$A26),'네이버RAW_붙여넣기'!$A:$A,0)),"")</x:f>
        <x:v>7.1</x:v>
      </x:c>
      <x:c r="E26" s="3" t="n">
        <x:f>IFERROR(INDEX('네이버RAW_붙여넣기'!E:E,MATCH(IF($A26="설비투자(CAPEX)","CAPEX",$A26),'네이버RAW_붙여넣기'!$A:$A,0)),"")</x:f>
        <x:v>8.36</x:v>
      </x:c>
    </x:row>
    <x:row r="27" ht="18" customHeight="1">
      <x:c r="A27" s="2" t="s">
        <x:v>26</x:v>
      </x:c>
      <x:c r="B27" s="3" t="n">
        <x:f>IFERROR(INDEX('네이버RAW_붙여넣기'!B:B,MATCH(IF($A27="설비투자(CAPEX)","CAPEX",$A27),'네이버RAW_붙여넣기'!$A:$A,0)),"")</x:f>
        <x:v>6.86</x:v>
      </x:c>
      <x:c r="C27" s="3" t="n">
        <x:f>IFERROR(INDEX('네이버RAW_붙여넣기'!C:C,MATCH(IF($A27="설비투자(CAPEX)","CAPEX",$A27),'네이버RAW_붙여넣기'!$A:$A,0)),"")</x:f>
        <x:v>36.84</x:v>
      </x:c>
      <x:c r="D27" s="3" t="n">
        <x:f>IFERROR(INDEX('네이버RAW_붙여넣기'!D:D,MATCH(IF($A27="설비투자(CAPEX)","CAPEX",$A27),'네이버RAW_붙여넣기'!$A:$A,0)),"")</x:f>
        <x:v>10.75</x:v>
      </x:c>
      <x:c r="E27" s="3" t="n">
        <x:f>IFERROR(INDEX('네이버RAW_붙여넣기'!E:E,MATCH(IF($A27="설비투자(CAPEX)","CAPEX",$A27),'네이버RAW_붙여넣기'!$A:$A,0)),"")</x:f>
        <x:v>18.27</x:v>
      </x:c>
    </x:row>
    <x:row r="28" ht="18" customHeight="1">
      <x:c r="A28" s="2" t="s">
        <x:v>27</x:v>
      </x:c>
      <x:c r="B28" s="3" t="n">
        <x:f>IFERROR(INDEX('네이버RAW_붙여넣기'!B:B,MATCH(IF($A28="설비투자(CAPEX)","CAPEX",$A28),'네이버RAW_붙여넣기'!$A:$A,0)),"")</x:f>
        <x:v>1.09</x:v>
      </x:c>
      <x:c r="C28" s="3" t="n">
        <x:f>IFERROR(INDEX('네이버RAW_붙여넣기'!C:C,MATCH(IF($A28="설비투자(CAPEX)","CAPEX",$A28),'네이버RAW_붙여넣기'!$A:$A,0)),"")</x:f>
        <x:v>1.51</x:v>
      </x:c>
      <x:c r="D28" s="3" t="n">
        <x:f>IFERROR(INDEX('네이버RAW_붙여넣기'!D:D,MATCH(IF($A28="설비투자(CAPEX)","CAPEX",$A28),'네이버RAW_붙여넣기'!$A:$A,0)),"")</x:f>
        <x:v>0.92</x:v>
      </x:c>
      <x:c r="E28" s="3" t="n">
        <x:f>IFERROR(INDEX('네이버RAW_붙여넣기'!E:E,MATCH(IF($A28="설비투자(CAPEX)","CAPEX",$A28),'네이버RAW_붙여넣기'!$A:$A,0)),"")</x:f>
        <x:v>1.87</x:v>
      </x:c>
    </x:row>
    <x:row r="29" ht="18" customHeight="1">
      <x:c r="A29" s="2" t="s">
        <x:v>28</x:v>
      </x:c>
      <x:c r="B29" s="3" t="n">
        <x:f>IFERROR(INDEX('네이버RAW_붙여넣기'!B:B,MATCH(IF($A29="설비투자(CAPEX)","CAPEX",$A29),'네이버RAW_붙여넣기'!$A:$A,0)),"")</x:f>
        <x:v>5969782550</x:v>
      </x:c>
      <x:c r="C29" s="3" t="n">
        <x:f>IFERROR(INDEX('네이버RAW_붙여넣기'!C:C,MATCH(IF($A29="설비투자(CAPEX)","CAPEX",$A29),'네이버RAW_붙여넣기'!$A:$A,0)),"")</x:f>
        <x:v>5969782550</x:v>
      </x:c>
      <x:c r="D29" s="3" t="n">
        <x:f>IFERROR(INDEX('네이버RAW_붙여넣기'!D:D,MATCH(IF($A29="설비투자(CAPEX)","CAPEX",$A29),'네이버RAW_붙여넣기'!$A:$A,0)),"")</x:f>
        <x:v>5969782550</x:v>
      </x:c>
      <x:c r="E29" s="3" t="n">
        <x:f>IFERROR(INDEX('네이버RAW_붙여넣기'!E:E,MATCH(IF($A29="설비투자(CAPEX)","CAPEX",$A29),'네이버RAW_붙여넣기'!$A:$A,0)),"")</x:f>
        <x:v>5919637922</x:v>
      </x:c>
    </x:row>
    <x:row r="31" ht="14.100000381469727" customHeight="1">
      <x:c r="A31" s="11" t="s">
        <x:v>29</x:v>
      </x:c>
      <x:c r="B31" s="10"/>
      <x:c r="C31" s="10"/>
      <x:c r="D31" s="10"/>
      <x:c r="E31" s="10"/>
    </x:row>
    <x:row r="32" ht="14.100000381469727" customHeight="1">
      <x:c r="A32" s="11" t="s">
        <x:v>30</x:v>
      </x:c>
      <x:c r="B32" s="10"/>
      <x:c r="C32" s="10"/>
      <x:c r="D32" s="10"/>
      <x:c r="E32" s="10"/>
    </x:row>
    <x:row r="33" ht="14.100000381469727" customHeight="1">
      <x:c r="A33" s="11" t="s">
        <x:v>31</x:v>
      </x:c>
      <x:c r="B33" s="10"/>
      <x:c r="C33" s="10"/>
      <x:c r="D33" s="10"/>
      <x:c r="E33" s="10"/>
    </x:row>
  </x:sheetData>
  <x:mergeCells>
    <x:mergeCell ref="A1:E1"/>
    <x:mergeCell ref="A33:E33"/>
    <x:mergeCell ref="A32:E32"/>
    <x:mergeCell ref="A31:E3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6.5"/>
  <x:cols>
    <x:col min="1" max="1" width="26" customWidth="1"/>
    <x:col min="2" max="5" width="14" customWidth="1"/>
  </x:cols>
  <x:sheetData>
    <x:row r="1" ht="30" customHeight="1">
      <x:c r="A1" s="9" t="s">
        <x:v>32</x:v>
      </x:c>
      <x:c r="B1" s="10"/>
      <x:c r="C1" s="10"/>
      <x:c r="D1" s="10"/>
      <x:c r="E1" s="10"/>
    </x:row>
    <x:row r="2" ht="15.949999809265137" customHeight="1">
      <x:c r="A2" s="12" t="s">
        <x:v>33</x:v>
      </x:c>
      <x:c r="B2" s="10"/>
      <x:c r="C2" s="10"/>
      <x:c r="D2" s="10"/>
      <x:c r="E2" s="10"/>
    </x:row>
    <x:row r="3" ht="21.950000762939453" customHeight="1">
      <x:c r="A3" s="1" t="s">
        <x:v>2</x:v>
      </x:c>
      <x:c r="B3" s="7" t="str">
        <x:f>IFERROR(TEXT('네이버RAW_붙여넣기'!F2,"yyyy/mm")&amp;CHAR(10)&amp;'네이버RAW_붙여넣기'!F3,"")</x:f>
        <x:v>2025/03
(IFRS연결)</x:v>
      </x:c>
      <x:c r="C3" s="7" t="str">
        <x:f>IFERROR(TEXT('네이버RAW_붙여넣기'!G2,"yyyy/mm")&amp;CHAR(10)&amp;'네이버RAW_붙여넣기'!G3,"")</x:f>
        <x:v>2025/06
(IFRS연결)</x:v>
      </x:c>
      <x:c r="D3" s="7" t="str">
        <x:f>IFERROR(TEXT('네이버RAW_붙여넣기'!H2,"yyyy/mm")&amp;CHAR(10)&amp;'네이버RAW_붙여넣기'!H3,"")</x:f>
        <x:v>2025/09
(IFRS연결)</x:v>
      </x:c>
      <x:c r="E3" s="7" t="str">
        <x:f>IFERROR(TEXT('네이버RAW_붙여넣기'!I2,"yyyy/mm")&amp;CHAR(10)&amp;'네이버RAW_붙여넣기'!I3,"")</x:f>
        <x:v>2025/12
(IFRS연결)</x:v>
      </x:c>
    </x:row>
    <x:row r="4" ht="18" customHeight="1">
      <x:c r="A4" s="8" t="s">
        <x:v>3</x:v>
      </x:c>
      <x:c r="B4" s="16"/>
      <x:c r="C4" s="16"/>
      <x:c r="D4" s="16"/>
      <x:c r="E4" s="16"/>
    </x:row>
    <x:row r="5" ht="18" customHeight="1">
      <x:c r="A5" s="2" t="s">
        <x:v>4</x:v>
      </x:c>
      <x:c r="B5" s="3" t="n">
        <x:f>IFERROR(INDEX('네이버RAW_붙여넣기'!F:F,MATCH(IF($A5="설비투자(CAPEX)","CAPEX",$A5),'네이버RAW_붙여넣기'!$A:$A,0)),"")</x:f>
        <x:v>791405</x:v>
      </x:c>
      <x:c r="C5" s="3" t="n">
        <x:f>IFERROR(INDEX('네이버RAW_붙여넣기'!G:G,MATCH(IF($A5="설비투자(CAPEX)","CAPEX",$A5),'네이버RAW_붙여넣기'!$A:$A,0)),"")</x:f>
        <x:v>745663</x:v>
      </x:c>
      <x:c r="D5" s="3" t="n">
        <x:f>IFERROR(INDEX('네이버RAW_붙여넣기'!H:H,MATCH(IF($A5="설비투자(CAPEX)","CAPEX",$A5),'네이버RAW_붙여넣기'!$A:$A,0)),"")</x:f>
        <x:v>860617</x:v>
      </x:c>
      <x:c r="E5" s="3" t="n">
        <x:f>IFERROR(INDEX('네이버RAW_붙여넣기'!I:I,MATCH(IF($A5="설비투자(CAPEX)","CAPEX",$A5),'네이버RAW_붙여넣기'!$A:$A,0)),"")</x:f>
        <x:v>938374</x:v>
      </x:c>
    </x:row>
    <x:row r="6" ht="18" customHeight="1">
      <x:c r="A6" s="2" t="s">
        <x:v>5</x:v>
      </x:c>
      <x:c r="B6" s="3" t="n">
        <x:f>IFERROR(INDEX('네이버RAW_붙여넣기'!F:F,MATCH(IF($A6="설비투자(CAPEX)","CAPEX",$A6),'네이버RAW_붙여넣기'!$A:$A,0)),"")</x:f>
        <x:v>66853</x:v>
      </x:c>
      <x:c r="C6" s="3" t="n">
        <x:f>IFERROR(INDEX('네이버RAW_붙여넣기'!G:G,MATCH(IF($A6="설비투자(CAPEX)","CAPEX",$A6),'네이버RAW_붙여넣기'!$A:$A,0)),"")</x:f>
        <x:v>46761</x:v>
      </x:c>
      <x:c r="D6" s="3" t="n">
        <x:f>IFERROR(INDEX('네이버RAW_붙여넣기'!H:H,MATCH(IF($A6="설비투자(CAPEX)","CAPEX",$A6),'네이버RAW_붙여넣기'!$A:$A,0)),"")</x:f>
        <x:v>121661</x:v>
      </x:c>
      <x:c r="E6" s="3" t="n">
        <x:f>IFERROR(INDEX('네이버RAW_붙여넣기'!I:I,MATCH(IF($A6="설비투자(CAPEX)","CAPEX",$A6),'네이버RAW_붙여넣기'!$A:$A,0)),"")</x:f>
        <x:v>200737</x:v>
      </x:c>
    </x:row>
    <x:row r="7" ht="18" customHeight="1">
      <x:c r="A7" s="2" t="s">
        <x:v>6</x:v>
      </x:c>
      <x:c r="B7" s="3" t="n">
        <x:f>IFERROR(INDEX('네이버RAW_붙여넣기'!F:F,MATCH(IF($A7="설비투자(CAPEX)","CAPEX",$A7),'네이버RAW_붙여넣기'!$A:$A,0)),"")</x:f>
        <x:v>82229</x:v>
      </x:c>
      <x:c r="C7" s="3" t="n">
        <x:f>IFERROR(INDEX('네이버RAW_붙여넣기'!G:G,MATCH(IF($A7="설비투자(CAPEX)","CAPEX",$A7),'네이버RAW_붙여넣기'!$A:$A,0)),"")</x:f>
        <x:v>51164</x:v>
      </x:c>
      <x:c r="D7" s="3" t="n">
        <x:f>IFERROR(INDEX('네이버RAW_붙여넣기'!H:H,MATCH(IF($A7="설비투자(CAPEX)","CAPEX",$A7),'네이버RAW_붙여넣기'!$A:$A,0)),"")</x:f>
        <x:v>122257</x:v>
      </x:c>
      <x:c r="E7" s="3" t="n">
        <x:f>IFERROR(INDEX('네이버RAW_붙여넣기'!I:I,MATCH(IF($A7="설비투자(CAPEX)","CAPEX",$A7),'네이버RAW_붙여넣기'!$A:$A,0)),"")</x:f>
        <x:v>196417</x:v>
      </x:c>
    </x:row>
    <x:row r="8" ht="18" customHeight="1">
      <x:c r="A8" s="2" t="s">
        <x:v>7</x:v>
      </x:c>
      <x:c r="B8" s="3" t="n">
        <x:f>IFERROR(INDEX('네이버RAW_붙여넣기'!F:F,MATCH(IF($A8="설비투자(CAPEX)","CAPEX",$A8),'네이버RAW_붙여넣기'!$A:$A,0)),"")</x:f>
        <x:v>8.45</x:v>
      </x:c>
      <x:c r="C8" s="3" t="n">
        <x:f>IFERROR(INDEX('네이버RAW_붙여넣기'!G:G,MATCH(IF($A8="설비투자(CAPEX)","CAPEX",$A8),'네이버RAW_붙여넣기'!$A:$A,0)),"")</x:f>
        <x:v>6.27</x:v>
      </x:c>
      <x:c r="D8" s="3" t="n">
        <x:f>IFERROR(INDEX('네이버RAW_붙여넣기'!H:H,MATCH(IF($A8="설비투자(CAPEX)","CAPEX",$A8),'네이버RAW_붙여넣기'!$A:$A,0)),"")</x:f>
        <x:v>14.14</x:v>
      </x:c>
      <x:c r="E8" s="3" t="n">
        <x:f>IFERROR(INDEX('네이버RAW_붙여넣기'!I:I,MATCH(IF($A8="설비투자(CAPEX)","CAPEX",$A8),'네이버RAW_붙여넣기'!$A:$A,0)),"")</x:f>
        <x:v>21.39</x:v>
      </x:c>
    </x:row>
    <x:row r="9" ht="18" customHeight="1">
      <x:c r="A9" s="2" t="s">
        <x:v>8</x:v>
      </x:c>
      <x:c r="B9" s="3" t="n">
        <x:f>IFERROR(INDEX('네이버RAW_붙여넣기'!F:F,MATCH(IF($A9="설비투자(CAPEX)","CAPEX",$A9),'네이버RAW_붙여넣기'!$A:$A,0)),"")</x:f>
        <x:v>10.39</x:v>
      </x:c>
      <x:c r="C9" s="3" t="n">
        <x:f>IFERROR(INDEX('네이버RAW_붙여넣기'!G:G,MATCH(IF($A9="설비투자(CAPEX)","CAPEX",$A9),'네이버RAW_붙여넣기'!$A:$A,0)),"")</x:f>
        <x:v>6.86</x:v>
      </x:c>
      <x:c r="D9" s="3" t="n">
        <x:f>IFERROR(INDEX('네이버RAW_붙여넣기'!H:H,MATCH(IF($A9="설비투자(CAPEX)","CAPEX",$A9),'네이버RAW_붙여넣기'!$A:$A,0)),"")</x:f>
        <x:v>14.21</x:v>
      </x:c>
      <x:c r="E9" s="3" t="n">
        <x:f>IFERROR(INDEX('네이버RAW_붙여넣기'!I:I,MATCH(IF($A9="설비투자(CAPEX)","CAPEX",$A9),'네이버RAW_붙여넣기'!$A:$A,0)),"")</x:f>
        <x:v>20.93</x:v>
      </x:c>
    </x:row>
    <x:row r="10" ht="18" customHeight="1">
      <x:c r="A10" s="8" t="s">
        <x:v>9</x:v>
      </x:c>
      <x:c r="B10" s="16"/>
      <x:c r="C10" s="16"/>
      <x:c r="D10" s="16"/>
      <x:c r="E10" s="16"/>
    </x:row>
    <x:row r="11" ht="18" customHeight="1">
      <x:c r="A11" s="2" t="s">
        <x:v>10</x:v>
      </x:c>
      <x:c r="B11" s="3" t="n">
        <x:f>IFERROR(INDEX('네이버RAW_붙여넣기'!F:F,MATCH(IF($A11="설비투자(CAPEX)","CAPEX",$A11),'네이버RAW_붙여넣기'!$A:$A,0)),"")</x:f>
        <x:v>5163767</x:v>
      </x:c>
      <x:c r="C11" s="3" t="n">
        <x:f>IFERROR(INDEX('네이버RAW_붙여넣기'!G:G,MATCH(IF($A11="설비투자(CAPEX)","CAPEX",$A11),'네이버RAW_붙여넣기'!$A:$A,0)),"")</x:f>
        <x:v>5048752</x:v>
      </x:c>
      <x:c r="D11" s="3" t="n">
        <x:f>IFERROR(INDEX('네이버RAW_붙여넣기'!H:H,MATCH(IF($A11="설비투자(CAPEX)","CAPEX",$A11),'네이버RAW_붙여넣기'!$A:$A,0)),"")</x:f>
        <x:v>5236596</x:v>
      </x:c>
      <x:c r="E11" s="3" t="n">
        <x:f>IFERROR(INDEX('네이버RAW_붙여넣기'!I:I,MATCH(IF($A11="설비투자(CAPEX)","CAPEX",$A11),'네이버RAW_붙여넣기'!$A:$A,0)),"")</x:f>
        <x:v>5669421</x:v>
      </x:c>
    </x:row>
    <x:row r="12" ht="18" customHeight="1">
      <x:c r="A12" s="2" t="s">
        <x:v>11</x:v>
      </x:c>
      <x:c r="B12" s="3" t="n">
        <x:f>IFERROR(INDEX('네이버RAW_붙여넣기'!F:F,MATCH(IF($A12="설비투자(CAPEX)","CAPEX",$A12),'네이버RAW_붙여넣기'!$A:$A,0)),"")</x:f>
        <x:v>1097625</x:v>
      </x:c>
      <x:c r="C12" s="3" t="n">
        <x:f>IFERROR(INDEX('네이버RAW_붙여넣기'!G:G,MATCH(IF($A12="설비투자(CAPEX)","CAPEX",$A12),'네이버RAW_붙여넣기'!$A:$A,0)),"")</x:f>
        <x:v>1053132</x:v>
      </x:c>
      <x:c r="D12" s="3" t="n">
        <x:f>IFERROR(INDEX('네이버RAW_붙여넣기'!H:H,MATCH(IF($A12="설비투자(CAPEX)","CAPEX",$A12),'네이버RAW_붙여넣기'!$A:$A,0)),"")</x:f>
        <x:v>1101581</x:v>
      </x:c>
      <x:c r="E12" s="3" t="n">
        <x:f>IFERROR(INDEX('네이버RAW_붙여넣기'!I:I,MATCH(IF($A12="설비투자(CAPEX)","CAPEX",$A12),'네이버RAW_붙여넣기'!$A:$A,0)),"")</x:f>
        <x:v>1306218</x:v>
      </x:c>
    </x:row>
    <x:row r="13" ht="18" customHeight="1">
      <x:c r="A13" s="2" t="s">
        <x:v>12</x:v>
      </x:c>
      <x:c r="B13" s="3" t="n">
        <x:f>IFERROR(INDEX('네이버RAW_붙여넣기'!F:F,MATCH(IF($A13="설비투자(CAPEX)","CAPEX",$A13),'네이버RAW_붙여넣기'!$A:$A,0)),"")</x:f>
        <x:v>4066143</x:v>
      </x:c>
      <x:c r="C13" s="3" t="n">
        <x:f>IFERROR(INDEX('네이버RAW_붙여넣기'!G:G,MATCH(IF($A13="설비투자(CAPEX)","CAPEX",$A13),'네이버RAW_붙여넣기'!$A:$A,0)),"")</x:f>
        <x:v>3995620</x:v>
      </x:c>
      <x:c r="D13" s="3" t="n">
        <x:f>IFERROR(INDEX('네이버RAW_붙여넣기'!H:H,MATCH(IF($A13="설비투자(CAPEX)","CAPEX",$A13),'네이버RAW_붙여넣기'!$A:$A,0)),"")</x:f>
        <x:v>4135015</x:v>
      </x:c>
      <x:c r="E13" s="3" t="n">
        <x:f>IFERROR(INDEX('네이버RAW_붙여넣기'!I:I,MATCH(IF($A13="설비투자(CAPEX)","CAPEX",$A13),'네이버RAW_붙여넣기'!$A:$A,0)),"")</x:f>
        <x:v>4363203</x:v>
      </x:c>
    </x:row>
    <x:row r="14" ht="18" customHeight="1">
      <x:c r="A14" s="2" t="s">
        <x:v>13</x:v>
      </x:c>
      <x:c r="B14" s="3" t="n">
        <x:f>IFERROR(INDEX('네이버RAW_붙여넣기'!F:F,MATCH(IF($A14="설비투자(CAPEX)","CAPEX",$A14),'네이버RAW_붙여넣기'!$A:$A,0)),"")</x:f>
        <x:v>26.99</x:v>
      </x:c>
      <x:c r="C14" s="3" t="n">
        <x:f>IFERROR(INDEX('네이버RAW_붙여넣기'!G:G,MATCH(IF($A14="설비투자(CAPEX)","CAPEX",$A14),'네이버RAW_붙여넣기'!$A:$A,0)),"")</x:f>
        <x:v>26.36</x:v>
      </x:c>
      <x:c r="D14" s="3" t="n">
        <x:f>IFERROR(INDEX('네이버RAW_붙여넣기'!H:H,MATCH(IF($A14="설비투자(CAPEX)","CAPEX",$A14),'네이버RAW_붙여넣기'!$A:$A,0)),"")</x:f>
        <x:v>26.64</x:v>
      </x:c>
      <x:c r="E14" s="3" t="n">
        <x:f>IFERROR(INDEX('네이버RAW_붙여넣기'!I:I,MATCH(IF($A14="설비투자(CAPEX)","CAPEX",$A14),'네이버RAW_붙여넣기'!$A:$A,0)),"")</x:f>
        <x:v>29.94</x:v>
      </x:c>
    </x:row>
    <x:row r="15" ht="18" customHeight="1">
      <x:c r="A15" s="2" t="s">
        <x:v>14</x:v>
      </x:c>
      <x:c r="B15" s="3" t="n">
        <x:f>IFERROR(INDEX('네이버RAW_붙여넣기'!F:F,MATCH(IF($A15="설비투자(CAPEX)","CAPEX",$A15),'네이버RAW_붙여넣기'!$A:$A,0)),"")</x:f>
        <x:v>42056.84</x:v>
      </x:c>
      <x:c r="C15" s="3" t="n">
        <x:f>IFERROR(INDEX('네이버RAW_붙여넣기'!G:G,MATCH(IF($A15="설비투자(CAPEX)","CAPEX",$A15),'네이버RAW_붙여넣기'!$A:$A,0)),"")</x:f>
        <x:v>42340.19</x:v>
      </x:c>
      <x:c r="D15" s="3" t="n">
        <x:f>IFERROR(INDEX('네이버RAW_붙여넣기'!H:H,MATCH(IF($A15="설비투자(CAPEX)","CAPEX",$A15),'네이버RAW_붙여넣기'!$A:$A,0)),"")</x:f>
        <x:v>43418.06</x:v>
      </x:c>
      <x:c r="E15" s="3" t="n">
        <x:f>IFERROR(INDEX('네이버RAW_붙여넣기'!I:I,MATCH(IF($A15="설비투자(CAPEX)","CAPEX",$A15),'네이버RAW_붙여넣기'!$A:$A,0)),"")</x:f>
        <x:v>45296.17</x:v>
      </x:c>
    </x:row>
    <x:row r="16" ht="18" customHeight="1">
      <x:c r="A16" s="8" t="s">
        <x:v>15</x:v>
      </x:c>
      <x:c r="B16" s="16"/>
      <x:c r="C16" s="16"/>
      <x:c r="D16" s="16"/>
      <x:c r="E16" s="16"/>
    </x:row>
    <x:row r="17" ht="18" customHeight="1">
      <x:c r="A17" s="2" t="s">
        <x:v>16</x:v>
      </x:c>
      <x:c r="B17" s="3" t="n">
        <x:f>IFERROR(INDEX('네이버RAW_붙여넣기'!F:F,MATCH(IF($A17="설비투자(CAPEX)","CAPEX",$A17),'네이버RAW_붙여넣기'!$A:$A,0)),"")</x:f>
        <x:v>165809</x:v>
      </x:c>
      <x:c r="C17" s="3" t="n">
        <x:f>IFERROR(INDEX('네이버RAW_붙여넣기'!G:G,MATCH(IF($A17="설비투자(CAPEX)","CAPEX",$A17),'네이버RAW_붙여넣기'!$A:$A,0)),"")</x:f>
        <x:v>173601</x:v>
      </x:c>
      <x:c r="D17" s="3" t="n">
        <x:f>IFERROR(INDEX('네이버RAW_붙여넣기'!H:H,MATCH(IF($A17="설비투자(CAPEX)","CAPEX",$A17),'네이버RAW_붙여넣기'!$A:$A,0)),"")</x:f>
        <x:v>225745</x:v>
      </x:c>
      <x:c r="E17" s="3" t="n">
        <x:f>IFERROR(INDEX('네이버RAW_붙여넣기'!I:I,MATCH(IF($A17="설비투자(CAPEX)","CAPEX",$A17),'네이버RAW_붙여넣기'!$A:$A,0)),"")</x:f>
        <x:v>287997</x:v>
      </x:c>
    </x:row>
    <x:row r="18" ht="18" customHeight="1">
      <x:c r="A18" s="2" t="s">
        <x:v>17</x:v>
      </x:c>
      <x:c r="B18" s="3" t="n">
        <x:f>IFERROR(INDEX('네이버RAW_붙여넣기'!F:F,MATCH(IF($A18="설비투자(CAPEX)","CAPEX",$A18),'네이버RAW_붙여넣기'!$A:$A,0)),"")</x:f>
        <x:v>-64312</x:v>
      </x:c>
      <x:c r="C18" s="3" t="n">
        <x:f>IFERROR(INDEX('네이버RAW_붙여넣기'!G:G,MATCH(IF($A18="설비투자(CAPEX)","CAPEX",$A18),'네이버RAW_붙여넣기'!$A:$A,0)),"")</x:f>
        <x:v>-177423</x:v>
      </x:c>
      <x:c r="D18" s="3" t="n">
        <x:f>IFERROR(INDEX('네이버RAW_붙여넣기'!H:H,MATCH(IF($A18="설비투자(CAPEX)","CAPEX",$A18),'네이버RAW_붙여넣기'!$A:$A,0)),"")</x:f>
        <x:v>-133477</x:v>
      </x:c>
      <x:c r="E18" s="3" t="n">
        <x:f>IFERROR(INDEX('네이버RAW_붙여넣기'!I:I,MATCH(IF($A18="설비투자(CAPEX)","CAPEX",$A18),'네이버RAW_붙여넣기'!$A:$A,0)),"")</x:f>
        <x:v>-309910</x:v>
      </x:c>
    </x:row>
    <x:row r="19" ht="18" customHeight="1">
      <x:c r="A19" s="2" t="s">
        <x:v>18</x:v>
      </x:c>
      <x:c r="B19" s="3" t="n">
        <x:f>IFERROR(INDEX('네이버RAW_붙여넣기'!F:F,MATCH(IF($A19="설비투자(CAPEX)","CAPEX",$A19),'네이버RAW_붙여넣기'!$A:$A,0)),"")</x:f>
        <x:v>-113417</x:v>
      </x:c>
      <x:c r="C19" s="3" t="n">
        <x:f>IFERROR(INDEX('네이버RAW_붙여넣기'!G:G,MATCH(IF($A19="설비투자(CAPEX)","CAPEX",$A19),'네이버RAW_붙여넣기'!$A:$A,0)),"")</x:f>
        <x:v>-34067</x:v>
      </x:c>
      <x:c r="D19" s="3" t="n">
        <x:f>IFERROR(INDEX('네이버RAW_붙여넣기'!H:H,MATCH(IF($A19="설비투자(CAPEX)","CAPEX",$A19),'네이버RAW_붙여넣기'!$A:$A,0)),"")</x:f>
        <x:v>-41877</x:v>
      </x:c>
      <x:c r="E19" s="3" t="n">
        <x:f>IFERROR(INDEX('네이버RAW_붙여넣기'!I:I,MATCH(IF($A19="설비투자(CAPEX)","CAPEX",$A19),'네이버RAW_붙여넣기'!$A:$A,0)),"")</x:f>
        <x:v>54581</x:v>
      </x:c>
    </x:row>
    <x:row r="20" ht="18" customHeight="1">
      <x:c r="A20" s="2" t="s">
        <x:v>20</x:v>
      </x:c>
      <x:c r="B20" s="3" t="n">
        <x:f>IFERROR(INDEX('네이버RAW_붙여넣기'!F:F,MATCH($A20,'네이버RAW_붙여넣기'!$A:$A,0)),"")</x:f>
        <x:v>44529</x:v>
      </x:c>
      <x:c r="C20" s="3" t="n">
        <x:f>IFERROR(INDEX('네이버RAW_붙여넣기'!G:G,MATCH($A20,'네이버RAW_붙여넣기'!$A:$A,0)),"")</x:f>
        <x:v>43247</x:v>
      </x:c>
      <x:c r="D20" s="3" t="n">
        <x:f>IFERROR(INDEX('네이버RAW_붙여넣기'!H:H,MATCH($A20,'네이버RAW_붙여넣기'!$A:$A,0)),"")</x:f>
        <x:v>117650</x:v>
      </x:c>
      <x:c r="E20" s="3" t="n">
        <x:f>IFERROR(INDEX('네이버RAW_붙여넣기'!I:I,MATCH($A20,'네이버RAW_붙여넣기'!$A:$A,0)),"")</x:f>
        <x:v>172504</x:v>
      </x:c>
    </x:row>
    <x:row r="21" ht="18" customHeight="1">
      <x:c r="A21" s="8" t="s">
        <x:v>21</x:v>
      </x:c>
      <x:c r="B21" s="16"/>
      <x:c r="C21" s="16"/>
      <x:c r="D21" s="16"/>
      <x:c r="E21" s="16"/>
    </x:row>
    <x:row r="22" ht="18" customHeight="1">
      <x:c r="A22" s="2" t="s">
        <x:v>22</x:v>
      </x:c>
      <x:c r="B22" s="3" t="n">
        <x:f>IFERROR(INDEX('네이버RAW_붙여넣기'!F:F,MATCH(IF($A22="설비투자(CAPEX)","CAPEX",$A22),'네이버RAW_붙여넣기'!$A:$A,0)),"")</x:f>
        <x:v>1186</x:v>
      </x:c>
      <x:c r="C22" s="3" t="n">
        <x:f>IFERROR(INDEX('네이버RAW_붙여넣기'!G:G,MATCH(IF($A22="설비투자(CAPEX)","CAPEX",$A22),'네이버RAW_붙여넣기'!$A:$A,0)),"")</x:f>
        <x:v>733</x:v>
      </x:c>
      <x:c r="D22" s="3" t="n">
        <x:f>IFERROR(INDEX('네이버RAW_붙여넣기'!H:H,MATCH(IF($A22="설비투자(CAPEX)","CAPEX",$A22),'네이버RAW_붙여넣기'!$A:$A,0)),"")</x:f>
        <x:v>1783</x:v>
      </x:c>
      <x:c r="E22" s="3" t="n">
        <x:f>IFERROR(INDEX('네이버RAW_붙여넣기'!I:I,MATCH(IF($A22="설비투자(CAPEX)","CAPEX",$A22),'네이버RAW_붙여넣기'!$A:$A,0)),"")</x:f>
        <x:v>2864</x:v>
      </x:c>
    </x:row>
    <x:row r="23" ht="18" customHeight="1">
      <x:c r="A23" s="2" t="s">
        <x:v>23</x:v>
      </x:c>
      <x:c r="B23" s="3" t="n">
        <x:f>IFERROR(INDEX('네이버RAW_붙여넣기'!F:F,MATCH(IF($A23="설비투자(CAPEX)","CAPEX",$A23),'네이버RAW_붙여넣기'!$A:$A,0)),"")</x:f>
        <x:v>59059</x:v>
      </x:c>
      <x:c r="C23" s="3" t="n">
        <x:f>IFERROR(INDEX('네이버RAW_붙여넣기'!G:G,MATCH(IF($A23="설비투자(CAPEX)","CAPEX",$A23),'네이버RAW_붙여넣기'!$A:$A,0)),"")</x:f>
        <x:v>58135</x:v>
      </x:c>
      <x:c r="D23" s="3" t="n">
        <x:f>IFERROR(INDEX('네이버RAW_붙여넣기'!H:H,MATCH(IF($A23="설비투자(CAPEX)","CAPEX",$A23),'네이버RAW_붙여넣기'!$A:$A,0)),"")</x:f>
        <x:v>60632</x:v>
      </x:c>
      <x:c r="E23" s="3" t="n">
        <x:f>IFERROR(INDEX('네이버RAW_붙여넣기'!I:I,MATCH(IF($A23="설비투자(CAPEX)","CAPEX",$A23),'네이버RAW_붙여넣기'!$A:$A,0)),"")</x:f>
        <x:v>63997</x:v>
      </x:c>
    </x:row>
    <x:row r="24" ht="18" customHeight="1">
      <x:c r="A24" s="2" t="s">
        <x:v>24</x:v>
      </x:c>
      <x:c r="B24" s="3" t="n">
        <x:f>IFERROR(INDEX('네이버RAW_붙여넣기'!F:F,MATCH(IF($A24="설비투자(CAPEX)","CAPEX",$A24),'네이버RAW_붙여넣기'!$A:$A,0)),"")</x:f>
        <x:v>9.24</x:v>
      </x:c>
      <x:c r="C24" s="3" t="n">
        <x:f>IFERROR(INDEX('네이버RAW_붙여넣기'!G:G,MATCH(IF($A24="설비투자(CAPEX)","CAPEX",$A24),'네이버RAW_붙여넣기'!$A:$A,0)),"")</x:f>
        <x:v>7.95</x:v>
      </x:c>
      <x:c r="D24" s="3" t="n">
        <x:f>IFERROR(INDEX('네이버RAW_붙여넣기'!H:H,MATCH(IF($A24="설비투자(CAPEX)","CAPEX",$A24),'네이버RAW_붙여넣기'!$A:$A,0)),"")</x:f>
        <x:v>8.37</x:v>
      </x:c>
      <x:c r="E24" s="3" t="n">
        <x:f>IFERROR(INDEX('네이버RAW_붙여넣기'!I:I,MATCH(IF($A24="설비투자(CAPEX)","CAPEX",$A24),'네이버RAW_붙여넣기'!$A:$A,0)),"")</x:f>
        <x:v>10.85</x:v>
      </x:c>
    </x:row>
    <x:row r="25" ht="18" customHeight="1">
      <x:c r="A25" s="2" t="s">
        <x:v>25</x:v>
      </x:c>
      <x:c r="B25" s="3" t="n">
        <x:f>IFERROR(INDEX('네이버RAW_붙여넣기'!F:F,MATCH(IF($A25="설비투자(CAPEX)","CAPEX",$A25),'네이버RAW_붙여넣기'!$A:$A,0)),"")</x:f>
        <x:v>7.28</x:v>
      </x:c>
      <x:c r="C25" s="3" t="n">
        <x:f>IFERROR(INDEX('네이버RAW_붙여넣기'!G:G,MATCH(IF($A25="설비투자(CAPEX)","CAPEX",$A25),'네이버RAW_붙여넣기'!$A:$A,0)),"")</x:f>
        <x:v>6.3</x:v>
      </x:c>
      <x:c r="D25" s="3" t="n">
        <x:f>IFERROR(INDEX('네이버RAW_붙여넣기'!H:H,MATCH(IF($A25="설비투자(CAPEX)","CAPEX",$A25),'네이버RAW_붙여넣기'!$A:$A,0)),"")</x:f>
        <x:v>6.57</x:v>
      </x:c>
      <x:c r="E25" s="3" t="n">
        <x:f>IFERROR(INDEX('네이버RAW_붙여넣기'!I:I,MATCH(IF($A25="설비투자(CAPEX)","CAPEX",$A25),'네이버RAW_붙여넣기'!$A:$A,0)),"")</x:f>
        <x:v>8.36</x:v>
      </x:c>
    </x:row>
    <x:row r="26" ht="18" customHeight="1">
      <x:c r="A26" s="2" t="s">
        <x:v>26</x:v>
      </x:c>
      <x:c r="B26" s="3" t="n">
        <x:f>IFERROR(INDEX('네이버RAW_붙여넣기'!F:F,MATCH(IF($A26="설비투자(CAPEX)","CAPEX",$A26),'네이버RAW_붙여넣기'!$A:$A,0)),"")</x:f>
        <x:v>11.2</x:v>
      </x:c>
      <x:c r="C26" s="3" t="n">
        <x:f>IFERROR(INDEX('네이버RAW_붙여넣기'!G:G,MATCH(IF($A26="설비투자(CAPEX)","CAPEX",$A26),'네이버RAW_붙여넣기'!$A:$A,0)),"")</x:f>
        <x:v>13.36</x:v>
      </x:c>
      <x:c r="D26" s="3" t="n">
        <x:f>IFERROR(INDEX('네이버RAW_붙여넣기'!H:H,MATCH(IF($A26="설비투자(CAPEX)","CAPEX",$A26),'네이버RAW_붙여넣기'!$A:$A,0)),"")</x:f>
        <x:v>17.42</x:v>
      </x:c>
      <x:c r="E26" s="3" t="n">
        <x:f>IFERROR(INDEX('네이버RAW_붙여넣기'!I:I,MATCH(IF($A26="설비투자(CAPEX)","CAPEX",$A26),'네이버RAW_붙여넣기'!$A:$A,0)),"")</x:f>
        <x:v>18.27</x:v>
      </x:c>
    </x:row>
    <x:row r="27" ht="18" customHeight="1">
      <x:c r="A27" s="2" t="s">
        <x:v>27</x:v>
      </x:c>
      <x:c r="B27" s="3" t="n">
        <x:f>IFERROR(INDEX('네이버RAW_붙여넣기'!F:F,MATCH(IF($A27="설비투자(CAPEX)","CAPEX",$A27),'네이버RAW_붙여넣기'!$A:$A,0)),"")</x:f>
        <x:v>0.98</x:v>
      </x:c>
      <x:c r="C27" s="3" t="n">
        <x:f>IFERROR(INDEX('네이버RAW_붙여넣기'!G:G,MATCH(IF($A27="설비투자(CAPEX)","CAPEX",$A27),'네이버RAW_붙여넣기'!$A:$A,0)),"")</x:f>
        <x:v>1.03</x:v>
      </x:c>
      <x:c r="D27" s="3" t="n">
        <x:f>IFERROR(INDEX('네이버RAW_붙여넣기'!H:H,MATCH(IF($A27="설비투자(CAPEX)","CAPEX",$A27),'네이버RAW_붙여넣기'!$A:$A,0)),"")</x:f>
        <x:v>1.38</x:v>
      </x:c>
      <x:c r="E27" s="3" t="n">
        <x:f>IFERROR(INDEX('네이버RAW_붙여넣기'!I:I,MATCH(IF($A27="설비투자(CAPEX)","CAPEX",$A27),'네이버RAW_붙여넣기'!$A:$A,0)),"")</x:f>
        <x:v>1.87</x:v>
      </x:c>
    </x:row>
    <x:row r="28" ht="18" customHeight="1">
      <x:c r="A28" s="2" t="s">
        <x:v>28</x:v>
      </x:c>
      <x:c r="B28" s="3" t="n">
        <x:f>IFERROR(INDEX('네이버RAW_붙여넣기'!F:F,MATCH(IF($A28="설비투자(CAPEX)","CAPEX",$A28),'네이버RAW_붙여넣기'!$A:$A,0)),"")</x:f>
        <x:v>5919637922</x:v>
      </x:c>
      <x:c r="C28" s="3" t="n">
        <x:f>IFERROR(INDEX('네이버RAW_붙여넣기'!G:G,MATCH(IF($A28="설비투자(CAPEX)","CAPEX",$A28),'네이버RAW_붙여넣기'!$A:$A,0)),"")</x:f>
        <x:v>5919637922</x:v>
      </x:c>
      <x:c r="D28" s="3" t="n">
        <x:f>IFERROR(INDEX('네이버RAW_붙여넣기'!H:H,MATCH(IF($A28="설비투자(CAPEX)","CAPEX",$A28),'네이버RAW_붙여넣기'!$A:$A,0)),"")</x:f>
        <x:v>5919637922</x:v>
      </x:c>
      <x:c r="E28" s="3" t="n">
        <x:f>IFERROR(INDEX('네이버RAW_붙여넣기'!I:I,MATCH(IF($A28="설비투자(CAPEX)","CAPEX",$A28),'네이버RAW_붙여넣기'!$A:$A,0)),"")</x:f>
        <x:v>5919637922</x:v>
      </x:c>
    </x:row>
    <x:row r="30" ht="14.100000381469727" customHeight="1">
      <x:c r="A30" s="11" t="s">
        <x:v>34</x:v>
      </x:c>
      <x:c r="B30" s="10"/>
      <x:c r="C30" s="10"/>
      <x:c r="D30" s="10"/>
      <x:c r="E30" s="10"/>
    </x:row>
    <x:row r="31" ht="14.100000381469727" customHeight="1">
      <x:c r="A31" s="11" t="s">
        <x:v>35</x:v>
      </x:c>
      <x:c r="B31" s="10"/>
      <x:c r="C31" s="10"/>
      <x:c r="D31" s="10"/>
      <x:c r="E31" s="10"/>
    </x:row>
    <x:row r="32" ht="14.100000381469727" customHeight="1">
      <x:c r="A32" s="11" t="s">
        <x:v>36</x:v>
      </x:c>
      <x:c r="B32" s="10"/>
      <x:c r="C32" s="10"/>
      <x:c r="D32" s="10"/>
      <x:c r="E32" s="10"/>
    </x:row>
  </x:sheetData>
  <x:mergeCells>
    <x:mergeCell ref="A1:E1"/>
    <x:mergeCell ref="A32:E32"/>
    <x:mergeCell ref="A31:E31"/>
    <x:mergeCell ref="A30:E30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6.5"/>
  <x:cols>
    <x:col min="1" max="1" width="26" customWidth="1"/>
    <x:col min="2" max="6" width="14" customWidth="1"/>
  </x:cols>
  <x:sheetData>
    <x:row r="1" ht="30" customHeight="1">
      <x:c r="A1" s="9" t="s">
        <x:v>37</x:v>
      </x:c>
      <x:c r="B1" s="10"/>
      <x:c r="C1" s="10"/>
      <x:c r="D1" s="10"/>
      <x:c r="E1" s="10"/>
      <x:c r="F1" s="10"/>
    </x:row>
    <x:row r="2" ht="15.949999809265137" customHeight="1">
      <x:c r="A2" s="12" t="s">
        <x:v>38</x:v>
      </x:c>
      <x:c r="B2" s="10"/>
      <x:c r="C2" s="10"/>
      <x:c r="D2" s="10"/>
      <x:c r="E2" s="10"/>
      <x:c r="F2" s="10"/>
    </x:row>
    <x:row r="3" ht="21.950000762939453" customHeight="1">
      <x:c r="A3" s="1" t="s">
        <x:v>2</x:v>
      </x:c>
      <x:c r="B3" s="1" t="s">
        <x:v>39</x:v>
      </x:c>
      <x:c r="C3" s="1" t="str">
        <x:f>IFERROR(TEXT('네이버RAW_붙여넣기'!B2,"yyyy/mm"),"")</x:f>
        <x:v>2022/12</x:v>
      </x:c>
      <x:c r="D3" s="1" t="str">
        <x:f>IFERROR(TEXT('네이버RAW_붙여넣기'!C2,"yyyy/mm"),"")</x:f>
        <x:v>2023/12</x:v>
      </x:c>
      <x:c r="E3" s="1" t="str">
        <x:f>IFERROR(TEXT('네이버RAW_붙여넣기'!D2,"yyyy/mm"),"")</x:f>
        <x:v>2024/12</x:v>
      </x:c>
      <x:c r="F3" s="1" t="str">
        <x:f>IFERROR(TEXT('네이버RAW_붙여넣기'!E2,"yyyy/mm"),"")</x:f>
        <x:v>2025/12</x:v>
      </x:c>
    </x:row>
    <x:row r="4" ht="18" customHeight="1">
      <x:c r="A4" s="2" t="s">
        <x:v>40</x:v>
      </x:c>
      <x:c r="B4" s="3"/>
      <x:c r="C4" s="3" t="n">
        <x:f>IFERROR(INDEX('네이버RAW_붙여넣기'!B:B,MATCH($A4,'네이버RAW_붙여넣기'!$A:$A,0)),"")</x:f>
        <x:v>1444</x:v>
      </x:c>
      <x:c r="D4" s="3" t="n">
        <x:f>IFERROR(INDEX('네이버RAW_붙여넣기'!C:C,MATCH($A4,'네이버RAW_붙여넣기'!$A:$A,0)),"")</x:f>
        <x:v>1444</x:v>
      </x:c>
      <x:c r="E4" s="3" t="n">
        <x:f>IFERROR(INDEX('네이버RAW_붙여넣기'!D:D,MATCH($A4,'네이버RAW_붙여넣기'!$A:$A,0)),"")</x:f>
        <x:v>1446</x:v>
      </x:c>
      <x:c r="F4" s="3" t="n">
        <x:f>IFERROR(INDEX('네이버RAW_붙여넣기'!E:E,MATCH($A4,'네이버RAW_붙여넣기'!$A:$A,0)),"")</x:f>
        <x:v>1668</x:v>
      </x:c>
    </x:row>
    <x:row r="5" ht="18" customHeight="1">
      <x:c r="A5" s="2" t="s">
        <x:v>41</x:v>
      </x:c>
      <x:c r="B5" s="3"/>
      <x:c r="C5" s="3" t="n">
        <x:f>IFERROR(INDEX('네이버RAW_붙여넣기'!B:B,MATCH($A5,'네이버RAW_붙여넣기'!$A:$A,0)),"")</x:f>
        <x:v>2.61</x:v>
      </x:c>
      <x:c r="D5" s="3" t="n">
        <x:f>IFERROR(INDEX('네이버RAW_붙여넣기'!C:C,MATCH($A5,'네이버RAW_붙여넣기'!$A:$A,0)),"")</x:f>
        <x:v>1.84</x:v>
      </x:c>
      <x:c r="E5" s="3" t="n">
        <x:f>IFERROR(INDEX('네이버RAW_붙여넣기'!D:D,MATCH($A5,'네이버RAW_붙여넣기'!$A:$A,0)),"")</x:f>
        <x:v>2.72</x:v>
      </x:c>
      <x:c r="F5" s="3" t="n">
        <x:f>IFERROR(INDEX('네이버RAW_붙여넣기'!E:E,MATCH($A5,'네이버RAW_붙여넣기'!$A:$A,0)),"")</x:f>
        <x:v>1.39</x:v>
      </x:c>
    </x:row>
    <x:row r="6" ht="18" customHeight="1">
      <x:c r="A6" s="2" t="s">
        <x:v>42</x:v>
      </x:c>
      <x:c r="B6" s="3"/>
      <x:c r="C6" s="3" t="n">
        <x:f>IFERROR(INDEX('네이버RAW_붙여넣기'!B:B,MATCH($A6,'네이버RAW_붙여넣기'!$A:$A,0)),"")</x:f>
        <x:v>17.92</x:v>
      </x:c>
      <x:c r="D6" s="3" t="n">
        <x:f>IFERROR(INDEX('네이버RAW_붙여넣기'!C:C,MATCH($A6,'네이버RAW_붙여넣기'!$A:$A,0)),"")</x:f>
        <x:v>67.78</x:v>
      </x:c>
      <x:c r="E6" s="3" t="n">
        <x:f>IFERROR(INDEX('네이버RAW_붙여넣기'!D:D,MATCH($A6,'네이버RAW_붙여넣기'!$A:$A,0)),"")</x:f>
        <x:v>29.18</x:v>
      </x:c>
      <x:c r="F6" s="3" t="n">
        <x:f>IFERROR(INDEX('네이버RAW_붙여넣기'!E:E,MATCH($A6,'네이버RAW_붙여넣기'!$A:$A,0)),"")</x:f>
        <x:v>25.1</x:v>
      </x:c>
    </x:row>
    <x:row r="8" ht="14.100000381469727" customHeight="1">
      <x:c r="A8" s="11" t="s">
        <x:v>43</x:v>
      </x:c>
      <x:c r="B8" s="10"/>
      <x:c r="C8" s="10"/>
      <x:c r="D8" s="10"/>
      <x:c r="E8" s="10"/>
      <x:c r="F8" s="10"/>
    </x:row>
    <x:row r="9" ht="14.100000381469727" customHeight="1">
      <x:c r="A9" s="11" t="s">
        <x:v>44</x:v>
      </x:c>
      <x:c r="B9" s="10"/>
      <x:c r="C9" s="10"/>
      <x:c r="D9" s="10"/>
      <x:c r="E9" s="10"/>
      <x:c r="F9" s="10"/>
    </x:row>
  </x:sheetData>
  <x:mergeCells>
    <x:mergeCell ref="A8:F8"/>
    <x:mergeCell ref="A2:F2"/>
    <x:mergeCell ref="A1:F1"/>
    <x:mergeCell ref="A9:F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6.5"/>
  <x:cols>
    <x:col min="1" max="1" width="5" customWidth="1"/>
    <x:col min="2" max="2" width="22" customWidth="1"/>
    <x:col min="3" max="3" width="58" customWidth="1"/>
  </x:cols>
  <x:sheetData>
    <x:row r="1" ht="32.099998474121094" customHeight="1">
      <x:c r="A1" s="13" t="str">
        <x:v>SEQUOIA QUANTUM™ 자동 추출 입력서식 v3</x:v>
      </x:c>
      <x:c r="B1" s="10"/>
      <x:c r="C1" s="10"/>
    </x:row>
    <x:row r="2" ht="8.100000381469727" customHeight="1"/>
    <x:row r="3" ht="21.950000762939453" customHeight="1">
      <x:c r="A3" s="14" t="str">
        <x:v>핵심 사용법</x:v>
      </x:c>
      <x:c r="B3" s="10" t="str">
        <x:v>네이버증권 raw 표를 '네이버RAW_붙여넣기' 시트 A1에 그대로 붙여넣으면 됩니다.</x:v>
      </x:c>
      <x:c r="C3" s="10"/>
    </x:row>
    <x:row r="4" ht="18" customHeight="1">
      <x:c r="A4" t="str">
        <x:v>자동 추출</x:v>
      </x:c>
      <x:c r="B4" s="4" t="str">
        <x:v>①연간재무제표, ②분기재무제표, ③배당 시트의 값이 INDEX/MATCH 공식으로 자동 채워집니다.</x:v>
      </x:c>
      <x:c r="C4" s="5"/>
    </x:row>
    <x:row r="5" ht="18" customHeight="1">
      <x:c r="A5" t="str">
        <x:v>대상 범위</x:v>
      </x:c>
      <x:c r="B5" s="4" t="str">
        <x:v>네이버 주요재무정보 표 기준 A:I 영역. 연간 B:E, 분기 F:I를 자동 분리합니다.</x:v>
      </x:c>
      <x:c r="C5" s="5"/>
    </x:row>
    <x:row r="6" ht="18" customHeight="1">
      <x:c r="A6" t="str">
        <x:v>주의</x:v>
      </x:c>
      <x:c r="B6" s="4" t="str">
        <x:v>항목명은 네이버 원문을 유지하세요. 예: CAPEX, FCF, EPS(원), BPS(원).</x:v>
      </x:c>
      <x:c r="C6" s="5"/>
    </x:row>
    <x:row r="7" ht="8.100000381469727" customHeight="1">
      <x:c r="A7" t="str">
        <x:v>배당</x:v>
      </x:c>
      <x:c r="B7" t="str">
        <x:v>raw 표에 있는 2022~2025 연간 배당 수치를 배당 시트 C:F에 자동 매핑합니다.</x:v>
      </x:c>
      <x:c r="C7"/>
    </x:row>
    <x:row r="8" ht="21.950000762939453" customHeight="1">
      <x:c r="A8" s="14" t="str">
        <x:v>세콰이어 연결</x:v>
      </x:c>
      <x:c r="B8" s="10" t="str">
        <x:v>이 파일을 세콰이어 시스템의 재무 입력 파일로 사용하면 VLOOKUP 반복 작업을 줄일 수 있습니다.</x:v>
      </x:c>
      <x:c r="C8" s="10"/>
    </x:row>
    <x:row r="9" ht="18" customHeight="1">
      <x:c r="B9" s="4" t="s">
        <x:v>45</x:v>
      </x:c>
      <x:c r="C9" s="5" t="s">
        <x:v>46</x:v>
      </x:c>
    </x:row>
    <x:row r="10" ht="18" customHeight="1">
      <x:c r="B10" s="4"/>
      <x:c r="C10" s="5" t="s">
        <x:v>47</x:v>
      </x:c>
    </x:row>
    <x:row r="11" ht="18" customHeight="1">
      <x:c r="B11" s="4"/>
      <x:c r="C11" s="5" t="s">
        <x:v>48</x:v>
      </x:c>
    </x:row>
    <x:row r="12" ht="18" customHeight="1">
      <x:c r="B12" s="4" t="s">
        <x:v>49</x:v>
      </x:c>
      <x:c r="C12" s="5" t="s">
        <x:v>50</x:v>
      </x:c>
    </x:row>
    <x:row r="13" ht="18" customHeight="1">
      <x:c r="B13" s="4"/>
      <x:c r="C13" s="5" t="s">
        <x:v>51</x:v>
      </x:c>
    </x:row>
    <x:row r="14" ht="18" customHeight="1">
      <x:c r="B14" s="4" t="s">
        <x:v>52</x:v>
      </x:c>
      <x:c r="C14" s="5" t="s">
        <x:v>53</x:v>
      </x:c>
    </x:row>
    <x:row r="15" ht="18" customHeight="1">
      <x:c r="B15" s="4"/>
      <x:c r="C15" s="5" t="s">
        <x:v>54</x:v>
      </x:c>
    </x:row>
    <x:row r="16" ht="8.100000381469727" customHeight="1"/>
    <x:row r="17" ht="21.950000762939453" customHeight="1">
      <x:c r="A17" s="14" t="s">
        <x:v>55</x:v>
      </x:c>
      <x:c r="B17" s="10"/>
      <x:c r="C17" s="10"/>
    </x:row>
    <x:row r="18" ht="18" customHeight="1">
      <x:c r="B18" s="4" t="s">
        <x:v>56</x:v>
      </x:c>
      <x:c r="C18" s="5" t="s">
        <x:v>57</x:v>
      </x:c>
    </x:row>
    <x:row r="19" ht="18" customHeight="1">
      <x:c r="B19" s="4" t="s">
        <x:v>58</x:v>
      </x:c>
      <x:c r="C19" s="5" t="s">
        <x:v>59</x:v>
      </x:c>
    </x:row>
    <x:row r="20" ht="18" customHeight="1">
      <x:c r="B20" s="4" t="s">
        <x:v>60</x:v>
      </x:c>
      <x:c r="C20" s="5" t="s">
        <x:v>61</x:v>
      </x:c>
    </x:row>
    <x:row r="21" ht="18" customHeight="1">
      <x:c r="B21" s="4" t="s">
        <x:v>62</x:v>
      </x:c>
      <x:c r="C21" s="5" t="s">
        <x:v>63</x:v>
      </x:c>
    </x:row>
    <x:row r="22" ht="8.100000381469727" customHeight="1"/>
    <x:row r="23" ht="21.950000762939453" customHeight="1">
      <x:c r="A23" s="14" t="s">
        <x:v>64</x:v>
      </x:c>
      <x:c r="B23" s="10"/>
      <x:c r="C23" s="10"/>
    </x:row>
    <x:row r="24" ht="18" customHeight="1">
      <x:c r="B24" s="4" t="s">
        <x:v>65</x:v>
      </x:c>
      <x:c r="C24" s="5" t="s">
        <x:v>66</x:v>
      </x:c>
    </x:row>
    <x:row r="25" ht="18" customHeight="1">
      <x:c r="B25" s="4" t="s">
        <x:v>67</x:v>
      </x:c>
      <x:c r="C25" s="5" t="s">
        <x:v>68</x:v>
      </x:c>
    </x:row>
    <x:row r="26" ht="18" customHeight="1">
      <x:c r="B26" s="4" t="s">
        <x:v>69</x:v>
      </x:c>
      <x:c r="C26" s="5" t="s">
        <x:v>70</x:v>
      </x:c>
    </x:row>
    <x:row r="27" ht="18" customHeight="1">
      <x:c r="B27" s="4" t="s">
        <x:v>71</x:v>
      </x:c>
      <x:c r="C27" s="5" t="s">
        <x:v>72</x:v>
      </x:c>
    </x:row>
  </x:sheetData>
  <x:mergeCells>
    <x:mergeCell ref="A1:C1"/>
    <x:mergeCell ref="A23:C23"/>
    <x:mergeCell ref="A8:C8"/>
    <x:mergeCell ref="A17:C17"/>
    <x:mergeCell ref="A3:C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주요재무정보</x:v>
      </x:c>
      <x:c r="B1" t="str">
        <x:v>연간연간컨센서스보기</x:v>
      </x:c>
      <x:c r="C1"/>
      <x:c r="D1"/>
      <x:c r="E1"/>
      <x:c r="F1" t="str">
        <x:v>분기분기컨센서스보기</x:v>
      </x:c>
      <x:c r="G1"/>
      <x:c r="H1"/>
      <x:c r="I1"/>
      <x:c r="K1" t="str">
        <x:v>사용법</x:v>
      </x:c>
    </x:row>
    <x:row r="2">
      <x:c r="A2"/>
      <x:c r="B2" t="n">
        <x:v>44896</x:v>
      </x:c>
      <x:c r="C2" t="n">
        <x:v>45261</x:v>
      </x:c>
      <x:c r="D2" t="n">
        <x:v>45627</x:v>
      </x:c>
      <x:c r="E2" t="n">
        <x:v>45992</x:v>
      </x:c>
      <x:c r="F2" t="n">
        <x:v>45717</x:v>
      </x:c>
      <x:c r="G2" t="n">
        <x:v>45809</x:v>
      </x:c>
      <x:c r="H2" t="n">
        <x:v>45901</x:v>
      </x:c>
      <x:c r="I2" t="n">
        <x:v>45992</x:v>
      </x:c>
      <x:c r="K2" t="str">
        <x:v>1) 네이버증권 주요재무정보 표 전체를 복사</x:v>
      </x:c>
    </x:row>
    <x:row r="3">
      <x:c r="A3"/>
      <x:c r="B3" t="str">
        <x:v>(IFRS연결)</x:v>
      </x:c>
      <x:c r="C3" t="str">
        <x:v>(IFRS연결)</x:v>
      </x:c>
      <x:c r="D3" t="str">
        <x:v>(IFRS연결)</x:v>
      </x:c>
      <x:c r="E3" t="str">
        <x:v>(IFRS연결)</x:v>
      </x:c>
      <x:c r="F3" t="str">
        <x:v>(IFRS연결)</x:v>
      </x:c>
      <x:c r="G3" t="str">
        <x:v>(IFRS연결)</x:v>
      </x:c>
      <x:c r="H3" t="str">
        <x:v>(IFRS연결)</x:v>
      </x:c>
      <x:c r="I3" t="str">
        <x:v>(IFRS연결)</x:v>
      </x:c>
      <x:c r="K3" t="str">
        <x:v>2) 이 시트 A1셀에 그대로 붙여넣기</x:v>
      </x:c>
    </x:row>
    <x:row r="4">
      <x:c r="A4" t="str">
        <x:v>매출액</x:v>
      </x:c>
      <x:c r="B4" t="n">
        <x:v>3022314</x:v>
      </x:c>
      <x:c r="C4" t="n">
        <x:v>2589355</x:v>
      </x:c>
      <x:c r="D4" t="n">
        <x:v>3008709</x:v>
      </x:c>
      <x:c r="E4" t="n">
        <x:v>3336059</x:v>
      </x:c>
      <x:c r="F4" t="n">
        <x:v>791405</x:v>
      </x:c>
      <x:c r="G4" t="n">
        <x:v>745663</x:v>
      </x:c>
      <x:c r="H4" t="n">
        <x:v>860617</x:v>
      </x:c>
      <x:c r="I4" t="n">
        <x:v>938374</x:v>
      </x:c>
      <x:c r="K4" t="str">
        <x:v>3) 연간/분기/배당 시트는 자동 추출</x:v>
      </x:c>
    </x:row>
    <x:row r="5">
      <x:c r="A5" t="str">
        <x:v>영업이익</x:v>
      </x:c>
      <x:c r="B5" t="n">
        <x:v>433766</x:v>
      </x:c>
      <x:c r="C5" t="n">
        <x:v>65670</x:v>
      </x:c>
      <x:c r="D5" t="n">
        <x:v>327260</x:v>
      </x:c>
      <x:c r="E5" t="n">
        <x:v>436011</x:v>
      </x:c>
      <x:c r="F5" t="n">
        <x:v>66853</x:v>
      </x:c>
      <x:c r="G5" t="n">
        <x:v>46761</x:v>
      </x:c>
      <x:c r="H5" t="n">
        <x:v>121661</x:v>
      </x:c>
      <x:c r="I5" t="n">
        <x:v>200737</x:v>
      </x:c>
      <x:c r="K5" t="str">
        <x:v>4) 붙여넣기 범위는 A:I 기준 권장</x:v>
      </x:c>
    </x:row>
    <x:row r="6">
      <x:c r="A6" t="str">
        <x:v>영업이익(발표기준)</x:v>
      </x:c>
      <x:c r="B6" t="n">
        <x:v>433766</x:v>
      </x:c>
      <x:c r="C6" t="n">
        <x:v>65670</x:v>
      </x:c>
      <x:c r="D6" t="n">
        <x:v>327260</x:v>
      </x:c>
      <x:c r="E6" t="n">
        <x:v>436011</x:v>
      </x:c>
      <x:c r="F6" t="n">
        <x:v>66853</x:v>
      </x:c>
      <x:c r="G6" t="n">
        <x:v>46761</x:v>
      </x:c>
      <x:c r="H6" t="n">
        <x:v>121661</x:v>
      </x:c>
      <x:c r="I6" t="n">
        <x:v>200737</x:v>
      </x:c>
      <x:c r="K6" t="str">
        <x:v>5) 항목명은 네이버 원문 유지</x:v>
      </x:c>
    </x:row>
    <x:row r="7">
      <x:c r="A7" t="str">
        <x:v>세전계속사업이익</x:v>
      </x:c>
      <x:c r="B7" t="n">
        <x:v>464405</x:v>
      </x:c>
      <x:c r="C7" t="n">
        <x:v>110063</x:v>
      </x:c>
      <x:c r="D7" t="n">
        <x:v>375297</x:v>
      </x:c>
      <x:c r="E7" t="n">
        <x:v>494815</x:v>
      </x:c>
      <x:c r="F7" t="n">
        <x:v>91516</x:v>
      </x:c>
      <x:c r="G7" t="n">
        <x:v>57561</x:v>
      </x:c>
      <x:c r="H7" t="n">
        <x:v>135456</x:v>
      </x:c>
      <x:c r="I7" t="n">
        <x:v>210282</x:v>
      </x:c>
    </x:row>
    <x:row r="8">
      <x:c r="A8" t="str">
        <x:v>당기순이익</x:v>
      </x:c>
      <x:c r="B8" t="n">
        <x:v>556541</x:v>
      </x:c>
      <x:c r="C8" t="n">
        <x:v>154871</x:v>
      </x:c>
      <x:c r="D8" t="n">
        <x:v>344514</x:v>
      </x:c>
      <x:c r="E8" t="n">
        <x:v>452068</x:v>
      </x:c>
      <x:c r="F8" t="n">
        <x:v>82229</x:v>
      </x:c>
      <x:c r="G8" t="n">
        <x:v>51164</x:v>
      </x:c>
      <x:c r="H8" t="n">
        <x:v>122257</x:v>
      </x:c>
      <x:c r="I8" t="n">
        <x:v>196417</x:v>
      </x:c>
    </x:row>
    <x:row r="9">
      <x:c r="A9" t="str">
        <x:v>  당기순이익(지배)</x:v>
      </x:c>
      <x:c r="B9" t="n">
        <x:v>547300</x:v>
      </x:c>
      <x:c r="C9" t="n">
        <x:v>144734</x:v>
      </x:c>
      <x:c r="D9" t="n">
        <x:v>336214</x:v>
      </x:c>
      <x:c r="E9" t="n">
        <x:v>442610</x:v>
      </x:c>
      <x:c r="F9" t="n">
        <x:v>80284</x:v>
      </x:c>
      <x:c r="G9" t="n">
        <x:v>49340</x:v>
      </x:c>
      <x:c r="H9" t="n">
        <x:v>120065</x:v>
      </x:c>
      <x:c r="I9" t="n">
        <x:v>192921</x:v>
      </x:c>
    </x:row>
    <x:row r="10">
      <x:c r="A10" t="str">
        <x:v>  당기순이익(비지배)</x:v>
      </x:c>
      <x:c r="B10" t="n">
        <x:v>9241</x:v>
      </x:c>
      <x:c r="C10" t="n">
        <x:v>10137</x:v>
      </x:c>
      <x:c r="D10" t="n">
        <x:v>8300</x:v>
      </x:c>
      <x:c r="E10" t="n">
        <x:v>9458</x:v>
      </x:c>
      <x:c r="F10" t="n">
        <x:v>1945</x:v>
      </x:c>
      <x:c r="G10" t="n">
        <x:v>1824</x:v>
      </x:c>
      <x:c r="H10" t="n">
        <x:v>2193</x:v>
      </x:c>
      <x:c r="I10" t="n">
        <x:v>3497</x:v>
      </x:c>
    </x:row>
    <x:row r="11">
      <x:c r="A11" t="str">
        <x:v>자산총계</x:v>
      </x:c>
      <x:c r="B11" t="n">
        <x:v>4484245</x:v>
      </x:c>
      <x:c r="C11" t="n">
        <x:v>4559060</x:v>
      </x:c>
      <x:c r="D11" t="n">
        <x:v>5145319</x:v>
      </x:c>
      <x:c r="E11" t="n">
        <x:v>5669421</x:v>
      </x:c>
      <x:c r="F11" t="n">
        <x:v>5163767</x:v>
      </x:c>
      <x:c r="G11" t="n">
        <x:v>5048752</x:v>
      </x:c>
      <x:c r="H11" t="n">
        <x:v>5236596</x:v>
      </x:c>
      <x:c r="I11" t="n">
        <x:v>5669421</x:v>
      </x:c>
    </x:row>
    <x:row r="12">
      <x:c r="A12" t="str">
        <x:v>부채총계</x:v>
      </x:c>
      <x:c r="B12" t="n">
        <x:v>936749</x:v>
      </x:c>
      <x:c r="C12" t="n">
        <x:v>922281</x:v>
      </x:c>
      <x:c r="D12" t="n">
        <x:v>1123399</x:v>
      </x:c>
      <x:c r="E12" t="n">
        <x:v>1306218</x:v>
      </x:c>
      <x:c r="F12" t="n">
        <x:v>1097625</x:v>
      </x:c>
      <x:c r="G12" t="n">
        <x:v>1053132</x:v>
      </x:c>
      <x:c r="H12" t="n">
        <x:v>1101581</x:v>
      </x:c>
      <x:c r="I12" t="n">
        <x:v>1306218</x:v>
      </x:c>
    </x:row>
    <x:row r="13">
      <x:c r="A13" t="str">
        <x:v>자본총계</x:v>
      </x:c>
      <x:c r="B13" t="n">
        <x:v>3547496</x:v>
      </x:c>
      <x:c r="C13" t="n">
        <x:v>3636779</x:v>
      </x:c>
      <x:c r="D13" t="n">
        <x:v>4021921</x:v>
      </x:c>
      <x:c r="E13" t="n">
        <x:v>4363203</x:v>
      </x:c>
      <x:c r="F13" t="n">
        <x:v>4066143</x:v>
      </x:c>
      <x:c r="G13" t="n">
        <x:v>3995620</x:v>
      </x:c>
      <x:c r="H13" t="n">
        <x:v>4135015</x:v>
      </x:c>
      <x:c r="I13" t="n">
        <x:v>4363203</x:v>
      </x:c>
    </x:row>
    <x:row r="14">
      <x:c r="A14" t="str">
        <x:v>  자본총계(지배)</x:v>
      </x:c>
      <x:c r="B14" t="n">
        <x:v>3451861</x:v>
      </x:c>
      <x:c r="C14" t="n">
        <x:v>3532338</x:v>
      </x:c>
      <x:c r="D14" t="n">
        <x:v>3916876</x:v>
      </x:c>
      <x:c r="E14" t="n">
        <x:v>4243133</x:v>
      </x:c>
      <x:c r="F14" t="n">
        <x:v>3958611</x:v>
      </x:c>
      <x:c r="G14" t="n">
        <x:v>3886941</x:v>
      </x:c>
      <x:c r="H14" t="n">
        <x:v>4020011</x:v>
      </x:c>
      <x:c r="I14" t="n">
        <x:v>4243133</x:v>
      </x:c>
    </x:row>
    <x:row r="15">
      <x:c r="A15" t="str">
        <x:v>  자본총계(비지배)</x:v>
      </x:c>
      <x:c r="B15" t="n">
        <x:v>95635</x:v>
      </x:c>
      <x:c r="C15" t="n">
        <x:v>104441</x:v>
      </x:c>
      <x:c r="D15" t="n">
        <x:v>105045</x:v>
      </x:c>
      <x:c r="E15" t="n">
        <x:v>120071</x:v>
      </x:c>
      <x:c r="F15" t="n">
        <x:v>107532</x:v>
      </x:c>
      <x:c r="G15" t="n">
        <x:v>108678</x:v>
      </x:c>
      <x:c r="H15" t="n">
        <x:v>115004</x:v>
      </x:c>
      <x:c r="I15" t="n">
        <x:v>120071</x:v>
      </x:c>
    </x:row>
    <x:row r="16">
      <x:c r="A16" t="str">
        <x:v>자본금</x:v>
      </x:c>
      <x:c r="B16" t="n">
        <x:v>8975</x:v>
      </x:c>
      <x:c r="C16" t="n">
        <x:v>8975</x:v>
      </x:c>
      <x:c r="D16" t="n">
        <x:v>8975</x:v>
      </x:c>
      <x:c r="E16" t="n">
        <x:v>8975</x:v>
      </x:c>
      <x:c r="F16" t="n">
        <x:v>8975</x:v>
      </x:c>
      <x:c r="G16" t="n">
        <x:v>8975</x:v>
      </x:c>
      <x:c r="H16" t="n">
        <x:v>8975</x:v>
      </x:c>
      <x:c r="I16" t="n">
        <x:v>8975</x:v>
      </x:c>
    </x:row>
    <x:row r="17">
      <x:c r="A17" t="str">
        <x:v>영업활동현금흐름</x:v>
      </x:c>
      <x:c r="B17" t="n">
        <x:v>621813</x:v>
      </x:c>
      <x:c r="C17" t="n">
        <x:v>441374</x:v>
      </x:c>
      <x:c r="D17" t="n">
        <x:v>729826</x:v>
      </x:c>
      <x:c r="E17" t="n">
        <x:v>853151</x:v>
      </x:c>
      <x:c r="F17" t="n">
        <x:v>165809</x:v>
      </x:c>
      <x:c r="G17" t="n">
        <x:v>173601</x:v>
      </x:c>
      <x:c r="H17" t="n">
        <x:v>225745</x:v>
      </x:c>
      <x:c r="I17" t="n">
        <x:v>287997</x:v>
      </x:c>
    </x:row>
    <x:row r="18">
      <x:c r="A18" t="str">
        <x:v>투자활동현금흐름</x:v>
      </x:c>
      <x:c r="B18" t="n">
        <x:v>-316028</x:v>
      </x:c>
      <x:c r="C18" t="n">
        <x:v>-169228</x:v>
      </x:c>
      <x:c r="D18" t="n">
        <x:v>-853817</x:v>
      </x:c>
      <x:c r="E18" t="n">
        <x:v>-685122</x:v>
      </x:c>
      <x:c r="F18" t="n">
        <x:v>-64312</x:v>
      </x:c>
      <x:c r="G18" t="n">
        <x:v>-177423</x:v>
      </x:c>
      <x:c r="H18" t="n">
        <x:v>-133477</x:v>
      </x:c>
      <x:c r="I18" t="n">
        <x:v>-309910</x:v>
      </x:c>
    </x:row>
    <x:row r="19">
      <x:c r="A19" t="str">
        <x:v>재무활동현금흐름</x:v>
      </x:c>
      <x:c r="B19" t="n">
        <x:v>-193900</x:v>
      </x:c>
      <x:c r="C19" t="n">
        <x:v>-85931</x:v>
      </x:c>
      <x:c r="D19" t="n">
        <x:v>-77972</x:v>
      </x:c>
      <x:c r="E19" t="n">
        <x:v>-134780</x:v>
      </x:c>
      <x:c r="F19" t="n">
        <x:v>-113417</x:v>
      </x:c>
      <x:c r="G19" t="n">
        <x:v>-34067</x:v>
      </x:c>
      <x:c r="H19" t="n">
        <x:v>-41877</x:v>
      </x:c>
      <x:c r="I19" t="n">
        <x:v>54581</x:v>
      </x:c>
    </x:row>
    <x:row r="20">
      <x:c r="A20" t="str">
        <x:v>CAPEX</x:v>
      </x:c>
      <x:c r="B20" t="n">
        <x:v>494304</x:v>
      </x:c>
      <x:c r="C20" t="n">
        <x:v>576113</x:v>
      </x:c>
      <x:c r="D20" t="n">
        <x:v>514064</x:v>
      </x:c>
      <x:c r="E20" t="n">
        <x:v>475222</x:v>
      </x:c>
      <x:c r="F20" t="n">
        <x:v>121279</x:v>
      </x:c>
      <x:c r="G20" t="n">
        <x:v>130354</x:v>
      </x:c>
      <x:c r="H20" t="n">
        <x:v>108095</x:v>
      </x:c>
      <x:c r="I20" t="n">
        <x:v>115493</x:v>
      </x:c>
    </x:row>
    <x:row r="21">
      <x:c r="A21" t="str">
        <x:v>FCF</x:v>
      </x:c>
      <x:c r="B21" t="n">
        <x:v>127509</x:v>
      </x:c>
      <x:c r="C21" t="n">
        <x:v>-134739</x:v>
      </x:c>
      <x:c r="D21" t="n">
        <x:v>215763</x:v>
      </x:c>
      <x:c r="E21" t="n">
        <x:v>377930</x:v>
      </x:c>
      <x:c r="F21" t="n">
        <x:v>44529</x:v>
      </x:c>
      <x:c r="G21" t="n">
        <x:v>43247</x:v>
      </x:c>
      <x:c r="H21" t="n">
        <x:v>117650</x:v>
      </x:c>
      <x:c r="I21" t="n">
        <x:v>172504</x:v>
      </x:c>
    </x:row>
    <x:row r="22">
      <x:c r="A22" t="str">
        <x:v>이자발생부채</x:v>
      </x:c>
      <x:c r="B22" t="n">
        <x:v>103332</x:v>
      </x:c>
      <x:c r="C22" t="n">
        <x:v>126859</x:v>
      </x:c>
      <x:c r="D22" t="n">
        <x:v>193302</x:v>
      </x:c>
      <x:c r="E22" t="n">
        <x:v>252391</x:v>
      </x:c>
      <x:c r="F22" t="n">
        <x:v>111439</x:v>
      </x:c>
      <x:c r="G22" t="n">
        <x:v>140297</x:v>
      </x:c>
      <x:c r="H22" t="n">
        <x:v>166723</x:v>
      </x:c>
      <x:c r="I22" t="n">
        <x:v>252391</x:v>
      </x:c>
    </x:row>
    <x:row r="23">
      <x:c r="A23" t="str">
        <x:v>영업이익률</x:v>
      </x:c>
      <x:c r="B23" t="n">
        <x:v>14.35</x:v>
      </x:c>
      <x:c r="C23" t="n">
        <x:v>2.54</x:v>
      </x:c>
      <x:c r="D23" t="n">
        <x:v>10.88</x:v>
      </x:c>
      <x:c r="E23" t="n">
        <x:v>13.07</x:v>
      </x:c>
      <x:c r="F23" t="n">
        <x:v>8.45</x:v>
      </x:c>
      <x:c r="G23" t="n">
        <x:v>6.27</x:v>
      </x:c>
      <x:c r="H23" t="n">
        <x:v>14.14</x:v>
      </x:c>
      <x:c r="I23" t="n">
        <x:v>21.39</x:v>
      </x:c>
    </x:row>
    <x:row r="24">
      <x:c r="A24" t="str">
        <x:v>순이익률</x:v>
      </x:c>
      <x:c r="B24" t="n">
        <x:v>18.41</x:v>
      </x:c>
      <x:c r="C24" t="n">
        <x:v>5.98</x:v>
      </x:c>
      <x:c r="D24" t="n">
        <x:v>11.45</x:v>
      </x:c>
      <x:c r="E24" t="n">
        <x:v>13.55</x:v>
      </x:c>
      <x:c r="F24" t="n">
        <x:v>10.39</x:v>
      </x:c>
      <x:c r="G24" t="n">
        <x:v>6.86</x:v>
      </x:c>
      <x:c r="H24" t="n">
        <x:v>14.21</x:v>
      </x:c>
      <x:c r="I24" t="n">
        <x:v>20.93</x:v>
      </x:c>
    </x:row>
    <x:row r="25">
      <x:c r="A25" t="str">
        <x:v>ROE(%)</x:v>
      </x:c>
      <x:c r="B25" t="n">
        <x:v>17.07</x:v>
      </x:c>
      <x:c r="C25" t="n">
        <x:v>4.15</x:v>
      </x:c>
      <x:c r="D25" t="n">
        <x:v>9.03</x:v>
      </x:c>
      <x:c r="E25" t="n">
        <x:v>10.85</x:v>
      </x:c>
      <x:c r="F25" t="n">
        <x:v>9.24</x:v>
      </x:c>
      <x:c r="G25" t="n">
        <x:v>7.95</x:v>
      </x:c>
      <x:c r="H25" t="n">
        <x:v>8.37</x:v>
      </x:c>
      <x:c r="I25" t="n">
        <x:v>10.85</x:v>
      </x:c>
    </x:row>
    <x:row r="26">
      <x:c r="A26" t="str">
        <x:v>ROA(%)</x:v>
      </x:c>
      <x:c r="B26" t="n">
        <x:v>12.72</x:v>
      </x:c>
      <x:c r="C26" t="n">
        <x:v>3.43</x:v>
      </x:c>
      <x:c r="D26" t="n">
        <x:v>7.1</x:v>
      </x:c>
      <x:c r="E26" t="n">
        <x:v>8.36</x:v>
      </x:c>
      <x:c r="F26" t="n">
        <x:v>7.28</x:v>
      </x:c>
      <x:c r="G26" t="n">
        <x:v>6.3</x:v>
      </x:c>
      <x:c r="H26" t="n">
        <x:v>6.57</x:v>
      </x:c>
      <x:c r="I26" t="n">
        <x:v>8.36</x:v>
      </x:c>
    </x:row>
    <x:row r="27">
      <x:c r="A27" t="str">
        <x:v>부채비율</x:v>
      </x:c>
      <x:c r="B27" t="n">
        <x:v>26.41</x:v>
      </x:c>
      <x:c r="C27" t="n">
        <x:v>25.36</x:v>
      </x:c>
      <x:c r="D27" t="n">
        <x:v>27.93</x:v>
      </x:c>
      <x:c r="E27" t="n">
        <x:v>29.94</x:v>
      </x:c>
      <x:c r="F27" t="n">
        <x:v>26.99</x:v>
      </x:c>
      <x:c r="G27" t="n">
        <x:v>26.36</x:v>
      </x:c>
      <x:c r="H27" t="n">
        <x:v>26.64</x:v>
      </x:c>
      <x:c r="I27" t="n">
        <x:v>29.94</x:v>
      </x:c>
    </x:row>
    <x:row r="28">
      <x:c r="A28" t="str">
        <x:v>자본유보율</x:v>
      </x:c>
      <x:c r="B28" t="n">
        <x:v>38144.29</x:v>
      </x:c>
      <x:c r="C28" t="n">
        <x:v>39114.28</x:v>
      </x:c>
      <x:c r="D28" t="n">
        <x:v>41772.84</x:v>
      </x:c>
      <x:c r="E28" t="n">
        <x:v>45296.17</x:v>
      </x:c>
      <x:c r="F28" t="n">
        <x:v>42056.84</x:v>
      </x:c>
      <x:c r="G28" t="n">
        <x:v>42340.19</x:v>
      </x:c>
      <x:c r="H28" t="n">
        <x:v>43418.06</x:v>
      </x:c>
      <x:c r="I28" t="n">
        <x:v>45296.17</x:v>
      </x:c>
    </x:row>
    <x:row r="29">
      <x:c r="A29" t="str">
        <x:v>EPS(원)</x:v>
      </x:c>
      <x:c r="B29" t="n">
        <x:v>8057</x:v>
      </x:c>
      <x:c r="C29" t="n">
        <x:v>2131</x:v>
      </x:c>
      <x:c r="D29" t="n">
        <x:v>4950</x:v>
      </x:c>
      <x:c r="E29" t="n">
        <x:v>6564</x:v>
      </x:c>
      <x:c r="F29" t="n">
        <x:v>1186</x:v>
      </x:c>
      <x:c r="G29" t="n">
        <x:v>733</x:v>
      </x:c>
      <x:c r="H29" t="n">
        <x:v>1783</x:v>
      </x:c>
      <x:c r="I29" t="n">
        <x:v>2864</x:v>
      </x:c>
    </x:row>
    <x:row r="30">
      <x:c r="A30" t="str">
        <x:v>PER(배)</x:v>
      </x:c>
      <x:c r="B30" t="n">
        <x:v>6.86</x:v>
      </x:c>
      <x:c r="C30" t="n">
        <x:v>36.84</x:v>
      </x:c>
      <x:c r="D30" t="n">
        <x:v>10.75</x:v>
      </x:c>
      <x:c r="E30" t="n">
        <x:v>18.27</x:v>
      </x:c>
      <x:c r="F30" t="n">
        <x:v>11.2</x:v>
      </x:c>
      <x:c r="G30" t="n">
        <x:v>13.36</x:v>
      </x:c>
      <x:c r="H30" t="n">
        <x:v>17.42</x:v>
      </x:c>
      <x:c r="I30" t="n">
        <x:v>18.27</x:v>
      </x:c>
    </x:row>
    <x:row r="31">
      <x:c r="A31" t="str">
        <x:v>BPS(원)</x:v>
      </x:c>
      <x:c r="B31" t="n">
        <x:v>50817</x:v>
      </x:c>
      <x:c r="C31" t="n">
        <x:v>52002</x:v>
      </x:c>
      <x:c r="D31" t="n">
        <x:v>57981</x:v>
      </x:c>
      <x:c r="E31" t="n">
        <x:v>63997</x:v>
      </x:c>
      <x:c r="F31" t="n">
        <x:v>59059</x:v>
      </x:c>
      <x:c r="G31" t="n">
        <x:v>58135</x:v>
      </x:c>
      <x:c r="H31" t="n">
        <x:v>60632</x:v>
      </x:c>
      <x:c r="I31" t="n">
        <x:v>63997</x:v>
      </x:c>
    </x:row>
    <x:row r="32">
      <x:c r="A32" t="str">
        <x:v>PBR(배)</x:v>
      </x:c>
      <x:c r="B32" t="n">
        <x:v>1.09</x:v>
      </x:c>
      <x:c r="C32" t="n">
        <x:v>1.51</x:v>
      </x:c>
      <x:c r="D32" t="n">
        <x:v>0.92</x:v>
      </x:c>
      <x:c r="E32" t="n">
        <x:v>1.87</x:v>
      </x:c>
      <x:c r="F32" t="n">
        <x:v>0.98</x:v>
      </x:c>
      <x:c r="G32" t="n">
        <x:v>1.03</x:v>
      </x:c>
      <x:c r="H32" t="n">
        <x:v>1.38</x:v>
      </x:c>
      <x:c r="I32" t="n">
        <x:v>1.87</x:v>
      </x:c>
    </x:row>
    <x:row r="33">
      <x:c r="A33" t="str">
        <x:v>현금DPS(원)</x:v>
      </x:c>
      <x:c r="B33" t="n">
        <x:v>1444</x:v>
      </x:c>
      <x:c r="C33" t="n">
        <x:v>1444</x:v>
      </x:c>
      <x:c r="D33" t="n">
        <x:v>1446</x:v>
      </x:c>
      <x:c r="E33" t="n">
        <x:v>1668</x:v>
      </x:c>
      <x:c r="F33" t="n">
        <x:v>365</x:v>
      </x:c>
      <x:c r="G33" t="n">
        <x:v>367</x:v>
      </x:c>
      <x:c r="H33" t="n">
        <x:v>370</x:v>
      </x:c>
      <x:c r="I33" t="n">
        <x:v>566</x:v>
      </x:c>
    </x:row>
    <x:row r="34">
      <x:c r="A34" t="str">
        <x:v>현금배당수익률</x:v>
      </x:c>
      <x:c r="B34" t="n">
        <x:v>2.61</x:v>
      </x:c>
      <x:c r="C34" t="n">
        <x:v>1.84</x:v>
      </x:c>
      <x:c r="D34" t="n">
        <x:v>2.72</x:v>
      </x:c>
      <x:c r="E34" t="n">
        <x:v>1.39</x:v>
      </x:c>
      <x:c r="F34" t="n">
        <x:v>0.63</x:v>
      </x:c>
      <x:c r="G34" t="n">
        <x:v>0.61</x:v>
      </x:c>
      <x:c r="H34" t="n">
        <x:v>0.44</x:v>
      </x:c>
      <x:c r="I34" t="n">
        <x:v>0.47</x:v>
      </x:c>
    </x:row>
    <x:row r="35">
      <x:c r="A35" t="str">
        <x:v>현금배당성향(%)</x:v>
      </x:c>
      <x:c r="B35" t="n">
        <x:v>17.92</x:v>
      </x:c>
      <x:c r="C35" t="n">
        <x:v>67.78</x:v>
      </x:c>
      <x:c r="D35" t="n">
        <x:v>29.18</x:v>
      </x:c>
      <x:c r="E35" t="n">
        <x:v>25.1</x:v>
      </x:c>
      <x:c r="F35" t="n">
        <x:v>30.48</x:v>
      </x:c>
      <x:c r="G35" t="n">
        <x:v>49.73</x:v>
      </x:c>
      <x:c r="H35" t="n">
        <x:v>20.43</x:v>
      </x:c>
      <x:c r="I35" t="n">
        <x:v>19.46</x:v>
      </x:c>
    </x:row>
    <x:row r="36">
      <x:c r="A36" t="str">
        <x:v>발행주식수(보통주)</x:v>
      </x:c>
      <x:c r="B36" t="n">
        <x:v>5969782550</x:v>
      </x:c>
      <x:c r="C36" t="n">
        <x:v>5969782550</x:v>
      </x:c>
      <x:c r="D36" t="n">
        <x:v>5969782550</x:v>
      </x:c>
      <x:c r="E36" t="n">
        <x:v>5919637922</x:v>
      </x:c>
      <x:c r="F36" t="n">
        <x:v>5919637922</x:v>
      </x:c>
      <x:c r="G36" t="n">
        <x:v>5919637922</x:v>
      </x:c>
      <x:c r="H36" t="n">
        <x:v>5919637922</x:v>
      </x:c>
      <x:c r="I36" t="n">
        <x:v>5919637922</x:v>
      </x:c>
    </x:row>
    <x:row r="37">
      <x:c r="A37" t="str">
        <x:v>* 실적 업데이트는 제조업 &gt; 금융업 순으로 순차적으로 업데이트됩니다.</x:v>
      </x:c>
      <x:c r="B37"/>
      <x:c r="C37"/>
      <x:c r="D37"/>
      <x:c r="E37"/>
      <x:c r="F37"/>
      <x:c r="G37"/>
      <x:c r="H37"/>
      <x:c r="I37"/>
    </x:row>
    <x:row r="38">
      <x:c r="A38" t="str">
        <x:v>* 재무 정보는 전자공시시스템에 발표된 후 당사 서비스에 반영되기까지 최소 2영업일에서 최대 10영업일까지 소요될 수 있습니다.</x:v>
      </x:c>
      <x:c r="B38"/>
      <x:c r="C38"/>
      <x:c r="D38"/>
      <x:c r="E38"/>
      <x:c r="F38"/>
      <x:c r="G38"/>
      <x:c r="H38"/>
      <x:c r="I38"/>
    </x:row>
  </x:sheetData>
  <x:pageMargins left="0.7" right="0.7" top="0.75" bottom="0.75" header="0.3" footer="0.3"/>
</x:worksheet>
</file>